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總覽" sheetId="1" state="visible" r:id="rId1"/>
    <sheet name="Dashboard_SL監控" sheetId="2" state="visible" r:id="rId2"/>
    <sheet name="Config_SL" sheetId="3" state="visible" r:id="rId3"/>
    <sheet name="Data_Feed" sheetId="4" state="visible" r:id="rId4"/>
    <sheet name="商品分析報告_v9最新" sheetId="5" state="visible" r:id="rId5"/>
    <sheet name="Data_v9最新" sheetId="6" state="visible" r:id="rId6"/>
    <sheet name="商品分析報告_v5存檔" sheetId="7" state="visible" r:id="rId7"/>
    <sheet name="Data_v5存檔" sheetId="8" state="visible" r:id="rId8"/>
    <sheet name="回測控制與儀表板" sheetId="9" state="visible" r:id="rId9"/>
    <sheet name="Data_回測" sheetId="10" state="visible" r:id="rId10"/>
    <sheet name="參數設定與明細" sheetId="11" state="visible" r:id="rId11"/>
    <sheet name="歷史回測紀錄" sheetId="12" state="visible" r:id="rId12"/>
    <sheet name="各週期動態優化方案" sheetId="13" state="visible" r:id="rId13"/>
    <sheet name="配對交易與最佳方案" sheetId="14" state="visible" r:id="rId14"/>
    <sheet name="歷史資料下載與匯入模組" sheetId="15" state="visible" r:id="rId15"/>
    <sheet name="VBA原始碼備份(僅供參考)" sheetId="16" state="visible" r:id="rId16"/>
  </sheets>
  <definedNames/>
  <calcPr calcId="124519" fullCalcOnLoad="1"/>
</workbook>
</file>

<file path=xl/styles.xml><?xml version="1.0" encoding="utf-8"?>
<styleSheet xmlns="http://schemas.openxmlformats.org/spreadsheetml/2006/main">
  <numFmts count="4">
    <numFmt numFmtId="164" formatCode="\+0.000%;\-0.000%"/>
    <numFmt numFmtId="165" formatCode="0.00000"/>
    <numFmt numFmtId="166" formatCode="0.0000"/>
    <numFmt numFmtId="167" formatCode="0.0%"/>
  </numFmts>
  <fonts count="25">
    <font>
      <name val="Calibri"/>
      <family val="2"/>
      <color theme="1"/>
      <sz val="11"/>
      <scheme val="minor"/>
    </font>
    <font>
      <name val="新細明體"/>
      <charset val="136"/>
      <family val="1"/>
      <b val="1"/>
      <color rgb="FFFFD700"/>
      <sz val="14"/>
      <scheme val="minor"/>
    </font>
    <font>
      <name val="新細明體"/>
      <charset val="136"/>
      <family val="1"/>
      <b val="1"/>
      <color theme="1"/>
      <sz val="11"/>
      <scheme val="minor"/>
    </font>
    <font>
      <name val="新細明體"/>
      <family val="2"/>
      <color theme="1"/>
      <sz val="11"/>
      <scheme val="minor"/>
    </font>
    <font>
      <name val="新細明體"/>
      <charset val="136"/>
      <family val="1"/>
      <b val="1"/>
      <color rgb="FFFFD700"/>
      <sz val="16"/>
      <scheme val="minor"/>
    </font>
    <font>
      <name val="新細明體"/>
      <charset val="136"/>
      <family val="1"/>
      <b val="1"/>
      <color rgb="FFFFFFFF"/>
      <sz val="11"/>
      <scheme val="minor"/>
    </font>
    <font>
      <name val="新細明體"/>
      <charset val="136"/>
      <family val="1"/>
      <b val="1"/>
      <color rgb="FF008000"/>
      <sz val="11"/>
      <scheme val="minor"/>
    </font>
    <font>
      <name val="新細明體"/>
      <family val="2"/>
      <color rgb="FF646464"/>
      <sz val="11"/>
      <scheme val="minor"/>
    </font>
    <font>
      <name val="Arial"/>
      <family val="2"/>
      <b val="1"/>
      <color rgb="FF1E3A2F"/>
      <sz val="12"/>
    </font>
    <font>
      <name val="Arial"/>
      <family val="2"/>
      <b val="1"/>
      <color rgb="FFFFFFFF"/>
      <sz val="10"/>
    </font>
    <font>
      <name val="Arial"/>
      <family val="2"/>
      <color rgb="FF000000"/>
      <sz val="10"/>
    </font>
    <font>
      <name val="Arial"/>
      <family val="2"/>
      <b val="1"/>
      <color rgb="FFFFFFFF"/>
      <sz val="13"/>
    </font>
    <font>
      <name val="Arial"/>
      <family val="2"/>
      <b val="1"/>
      <sz val="10"/>
    </font>
    <font>
      <name val="Arial"/>
      <family val="2"/>
      <sz val="10"/>
    </font>
    <font>
      <name val="Arial"/>
      <family val="2"/>
      <b val="1"/>
      <color rgb="FFFFFFFF"/>
      <sz val="14"/>
    </font>
    <font>
      <name val="Arial"/>
      <family val="2"/>
      <b val="1"/>
      <color rgb="FF1F4E79"/>
      <sz val="11"/>
    </font>
    <font>
      <name val="Consolas"/>
      <family val="3"/>
      <color rgb="FF1F4E79"/>
      <sz val="9"/>
    </font>
    <font>
      <name val="Arial"/>
      <b val="1"/>
      <color rgb="00FFFFFF"/>
      <sz val="16"/>
    </font>
    <font>
      <name val="Arial"/>
      <i val="1"/>
      <color rgb="00808080"/>
      <sz val="10"/>
    </font>
    <font>
      <name val="Arial"/>
      <b val="1"/>
      <color rgb="00FFFFFF"/>
      <sz val="11"/>
    </font>
    <font>
      <name val="Arial"/>
      <b val="1"/>
      <color rgb="001F4E5F"/>
      <sz val="12"/>
    </font>
    <font>
      <name val="Arial"/>
      <sz val="10"/>
    </font>
    <font>
      <name val="Arial"/>
      <b val="1"/>
      <color rgb="00FFFFFF"/>
      <sz val="14"/>
    </font>
    <font>
      <name val="Consolas"/>
      <b val="1"/>
      <sz val="9"/>
    </font>
    <font>
      <name val="Consolas"/>
      <sz val="9"/>
    </font>
  </fonts>
  <fills count="14">
    <fill>
      <patternFill/>
    </fill>
    <fill>
      <patternFill patternType="gray125"/>
    </fill>
    <fill>
      <patternFill patternType="solid">
        <fgColor rgb="FF0F1928"/>
        <bgColor indexed="64"/>
      </patternFill>
    </fill>
    <fill>
      <patternFill patternType="solid">
        <fgColor rgb="FFE6EBF5"/>
        <bgColor indexed="64"/>
      </patternFill>
    </fill>
    <fill>
      <patternFill patternType="solid">
        <fgColor rgb="FF1F4E79"/>
        <bgColor indexed="64"/>
      </patternFill>
    </fill>
    <fill>
      <patternFill patternType="solid">
        <fgColor rgb="FF143228"/>
        <bgColor indexed="64"/>
      </patternFill>
    </fill>
    <fill>
      <patternFill patternType="solid">
        <fgColor rgb="FF1E3A2F"/>
        <bgColor rgb="FF1E3A2F"/>
      </patternFill>
    </fill>
    <fill>
      <patternFill patternType="solid">
        <fgColor rgb="FFFFFFFF"/>
        <bgColor rgb="FFFFFFFF"/>
      </patternFill>
    </fill>
    <fill>
      <patternFill patternType="solid">
        <fgColor rgb="FFF4F7F5"/>
        <bgColor rgb="FFF4F7F5"/>
      </patternFill>
    </fill>
    <fill>
      <patternFill patternType="solid">
        <fgColor rgb="FF1F4E79"/>
        <bgColor rgb="FF1F4E79"/>
      </patternFill>
    </fill>
    <fill>
      <patternFill patternType="solid">
        <fgColor rgb="FF2F5597"/>
        <bgColor rgb="FF2F5597"/>
      </patternFill>
    </fill>
    <fill>
      <patternFill patternType="solid">
        <fgColor rgb="FFF2F2F2"/>
        <bgColor rgb="FFF2F2F2"/>
      </patternFill>
    </fill>
    <fill>
      <patternFill patternType="solid">
        <fgColor rgb="001F4E5F"/>
      </patternFill>
    </fill>
    <fill>
      <patternFill patternType="solid">
        <fgColor rgb="00D9E1F2"/>
      </patternFill>
    </fill>
  </fills>
  <borders count="4">
    <border>
      <left/>
      <right/>
      <top/>
      <bottom/>
      <diagonal/>
    </border>
    <border>
      <left style="thin">
        <color rgb="FFD3D3D3"/>
      </left>
      <right style="thin">
        <color rgb="FFD3D3D3"/>
      </right>
      <top style="thin">
        <color rgb="FFD3D3D3"/>
      </top>
      <bottom style="thin">
        <color rgb="FFD3D3D3"/>
      </bottom>
      <diagonal/>
    </border>
    <border>
      <left style="thin">
        <color rgb="FFD9D9D9"/>
      </left>
      <right style="thin">
        <color rgb="FFD9D9D9"/>
      </right>
      <top style="thin">
        <color rgb="FFD9D9D9"/>
      </top>
      <bottom style="thin">
        <color rgb="FFD9D9D9"/>
      </bottom>
      <diagonal/>
    </border>
    <border>
      <left style="thin">
        <color rgb="00BFBFBF"/>
      </left>
      <right style="thin">
        <color rgb="00BFBFBF"/>
      </right>
      <top style="thin">
        <color rgb="00BFBFBF"/>
      </top>
      <bottom style="thin">
        <color rgb="00BFBFBF"/>
      </bottom>
    </border>
  </borders>
  <cellStyleXfs count="1">
    <xf numFmtId="0" fontId="0" fillId="0" borderId="0"/>
  </cellStyleXfs>
  <cellXfs count="44">
    <xf numFmtId="0" fontId="0" fillId="0" borderId="0" pivotButton="0" quotePrefix="0" xfId="0"/>
    <xf numFmtId="0" fontId="17" fillId="12" borderId="0" applyAlignment="1" pivotButton="0" quotePrefix="0" xfId="0">
      <alignment horizontal="center" vertical="center"/>
    </xf>
    <xf numFmtId="0" fontId="18" fillId="0" borderId="0" applyAlignment="1" pivotButton="0" quotePrefix="0" xfId="0">
      <alignment vertical="center" wrapText="1"/>
    </xf>
    <xf numFmtId="0" fontId="19" fillId="12" borderId="3" applyAlignment="1" pivotButton="0" quotePrefix="0" xfId="0">
      <alignment horizontal="center" vertical="center"/>
    </xf>
    <xf numFmtId="0" fontId="20" fillId="13" borderId="0" applyAlignment="1" pivotButton="0" quotePrefix="0" xfId="0">
      <alignment vertical="center" wrapText="1"/>
    </xf>
    <xf numFmtId="0" fontId="0" fillId="0" borderId="3" pivotButton="0" quotePrefix="0" xfId="0"/>
    <xf numFmtId="0" fontId="21" fillId="0" borderId="3" pivotButton="0" quotePrefix="0" xfId="0"/>
    <xf numFmtId="0" fontId="21" fillId="0" borderId="3" applyAlignment="1" pivotButton="0" quotePrefix="0" xfId="0">
      <alignment vertical="top" wrapText="1"/>
    </xf>
    <xf numFmtId="0" fontId="18" fillId="0" borderId="0" applyAlignment="1" pivotButton="0" quotePrefix="0" xfId="0">
      <alignment vertical="top" wrapText="1"/>
    </xf>
    <xf numFmtId="0" fontId="1" fillId="2" borderId="0" applyAlignment="1" pivotButton="0" quotePrefix="0" xfId="0">
      <alignment horizontal="center"/>
    </xf>
    <xf numFmtId="0" fontId="2" fillId="3" borderId="0" applyAlignment="1" pivotButton="0" quotePrefix="0" xfId="0">
      <alignment horizontal="center"/>
    </xf>
    <xf numFmtId="0" fontId="3" fillId="0" borderId="0" applyAlignment="1" pivotButton="0" quotePrefix="0" xfId="0">
      <alignment horizontal="center"/>
    </xf>
    <xf numFmtId="164" fontId="3" fillId="0" borderId="0" applyAlignment="1" pivotButton="0" quotePrefix="0" xfId="0">
      <alignment horizontal="center"/>
    </xf>
    <xf numFmtId="0" fontId="4" fillId="2" borderId="0" applyAlignment="1" pivotButton="0" quotePrefix="0" xfId="0">
      <alignment horizontal="center" vertical="center"/>
    </xf>
    <xf numFmtId="0" fontId="2" fillId="0" borderId="0" applyAlignment="1" pivotButton="0" quotePrefix="0" xfId="0">
      <alignment horizontal="center" vertical="center"/>
    </xf>
    <xf numFmtId="0" fontId="5" fillId="4" borderId="0" applyAlignment="1" pivotButton="0" quotePrefix="0" xfId="0">
      <alignment horizontal="center" vertical="center" wrapText="1"/>
    </xf>
    <xf numFmtId="165" fontId="3" fillId="0" borderId="0" pivotButton="0" quotePrefix="0" xfId="0"/>
    <xf numFmtId="166" fontId="3" fillId="0" borderId="0" pivotButton="0" quotePrefix="0" xfId="0"/>
    <xf numFmtId="2" fontId="3" fillId="0" borderId="0" pivotButton="0" quotePrefix="0" xfId="0"/>
    <xf numFmtId="0" fontId="5" fillId="5" borderId="0" pivotButton="0" quotePrefix="0" xfId="0"/>
    <xf numFmtId="49" fontId="5" fillId="5" borderId="0" pivotButton="0" quotePrefix="0" xfId="0"/>
    <xf numFmtId="49" fontId="3" fillId="0" borderId="0" applyAlignment="1" pivotButton="0" quotePrefix="0" xfId="0">
      <alignment horizontal="center"/>
    </xf>
    <xf numFmtId="167" fontId="3" fillId="0" borderId="0" applyAlignment="1" pivotButton="0" quotePrefix="0" xfId="0">
      <alignment horizontal="center"/>
    </xf>
    <xf numFmtId="2" fontId="3" fillId="0" borderId="0" applyAlignment="1" pivotButton="0" quotePrefix="0" xfId="0">
      <alignment horizontal="center"/>
    </xf>
    <xf numFmtId="0" fontId="6" fillId="0" borderId="0" applyAlignment="1" pivotButton="0" quotePrefix="0" xfId="0">
      <alignment horizontal="center"/>
    </xf>
    <xf numFmtId="0" fontId="7" fillId="0" borderId="0" applyAlignment="1" pivotButton="0" quotePrefix="0" xfId="0">
      <alignment horizontal="center"/>
    </xf>
    <xf numFmtId="0" fontId="8" fillId="0" borderId="0" pivotButton="0" quotePrefix="0" xfId="0"/>
    <xf numFmtId="0" fontId="9" fillId="6" borderId="1" applyAlignment="1" pivotButton="0" quotePrefix="0" xfId="0">
      <alignment horizontal="center" vertical="center" wrapText="1"/>
    </xf>
    <xf numFmtId="0" fontId="10" fillId="7" borderId="1" applyAlignment="1" pivotButton="0" quotePrefix="0" xfId="0">
      <alignment horizontal="center" vertical="center"/>
    </xf>
    <xf numFmtId="0" fontId="10" fillId="8" borderId="1" applyAlignment="1" pivotButton="0" quotePrefix="0" xfId="0">
      <alignment horizontal="center" vertical="center"/>
    </xf>
    <xf numFmtId="0" fontId="9" fillId="6" borderId="1" applyAlignment="1" pivotButton="0" quotePrefix="0" xfId="0">
      <alignment horizontal="center" vertical="center"/>
    </xf>
    <xf numFmtId="0" fontId="11" fillId="9" borderId="0" applyAlignment="1" pivotButton="0" quotePrefix="0" xfId="0">
      <alignment horizontal="left" vertical="center" indent="1"/>
    </xf>
    <xf numFmtId="0" fontId="9" fillId="10" borderId="0" applyAlignment="1" pivotButton="0" quotePrefix="0" xfId="0">
      <alignment horizontal="center" vertical="center"/>
    </xf>
    <xf numFmtId="0" fontId="12" fillId="0" borderId="2" applyAlignment="1" pivotButton="0" quotePrefix="0" xfId="0">
      <alignment horizontal="center" vertical="center"/>
    </xf>
    <xf numFmtId="0" fontId="13" fillId="0" borderId="2" applyAlignment="1" pivotButton="0" quotePrefix="0" xfId="0">
      <alignment horizontal="center" vertical="center"/>
    </xf>
    <xf numFmtId="0" fontId="14" fillId="9" borderId="0" applyAlignment="1" pivotButton="0" quotePrefix="0" xfId="0">
      <alignment horizontal="left" vertical="center" indent="1"/>
    </xf>
    <xf numFmtId="0" fontId="12" fillId="0" borderId="2" applyAlignment="1" pivotButton="0" quotePrefix="0" xfId="0">
      <alignment vertical="center" wrapText="1"/>
    </xf>
    <xf numFmtId="0" fontId="13" fillId="0" borderId="2" applyAlignment="1" pivotButton="0" quotePrefix="0" xfId="0">
      <alignment vertical="center" wrapText="1"/>
    </xf>
    <xf numFmtId="0" fontId="15" fillId="0" borderId="0" pivotButton="0" quotePrefix="0" xfId="0"/>
    <xf numFmtId="0" fontId="16" fillId="11" borderId="0" applyAlignment="1" pivotButton="0" quotePrefix="0" xfId="0">
      <alignment vertical="top" wrapText="1"/>
    </xf>
    <xf numFmtId="0" fontId="22" fillId="12" borderId="0" pivotButton="0" quotePrefix="0" xfId="0"/>
    <xf numFmtId="0" fontId="20" fillId="13" borderId="0" pivotButton="0" quotePrefix="0" xfId="0"/>
    <xf numFmtId="0" fontId="23" fillId="0" borderId="0" pivotButton="0" quotePrefix="0" xfId="0"/>
    <xf numFmtId="0" fontId="24" fillId="0" borderId="0" applyAlignment="1" pivotButton="0" quotePrefix="0" xfId="0">
      <alignment vertical="top" wrapText="1"/>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styles" Target="styles.xml" Id="rId17" /><Relationship Type="http://schemas.openxmlformats.org/officeDocument/2006/relationships/theme" Target="theme/theme1.xml" Id="rId18"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D24"/>
  <sheetViews>
    <sheetView showGridLines="0" workbookViewId="0">
      <selection activeCell="A1" sqref="A1"/>
    </sheetView>
  </sheetViews>
  <sheetFormatPr baseColWidth="8" defaultRowHeight="15"/>
  <cols>
    <col width="26" customWidth="1" min="1" max="1"/>
    <col width="42" customWidth="1" min="2" max="2"/>
    <col width="46" customWidth="1" min="3" max="3"/>
    <col width="22" customWidth="1" min="4" max="4"/>
  </cols>
  <sheetData>
    <row r="1" ht="30" customHeight="1">
      <c r="A1" s="1" t="inlineStr">
        <is>
          <t>Vegas Strategy Plan － 整合總覽</t>
        </is>
      </c>
    </row>
    <row r="2" ht="34" customHeight="1">
      <c r="A2" s="2" t="inlineStr">
        <is>
          <t>本檔案整合 4 份原始工作表檔案的資料表，依模組分類保留所有分頁與公式；來源檔名於上傳過程遺失中文名稱，已依內容重新命名並於下方對照。</t>
        </is>
      </c>
    </row>
    <row r="4">
      <c r="A4" s="3" t="inlineStr">
        <is>
          <t>模組</t>
        </is>
      </c>
      <c r="B4" s="3" t="inlineStr">
        <is>
          <t>分頁名稱</t>
        </is>
      </c>
      <c r="C4" s="3" t="inlineStr">
        <is>
          <t>說明</t>
        </is>
      </c>
      <c r="D4" s="3" t="inlineStr">
        <is>
          <t>來源檔案</t>
        </is>
      </c>
    </row>
    <row r="5" ht="20" customHeight="1">
      <c r="A5" s="4" t="inlineStr">
        <is>
          <t>A. 個人化 SL 風控監控 － (12大商品即時監控)</t>
        </is>
      </c>
    </row>
    <row r="6" ht="32" customHeight="1">
      <c r="A6" s="5" t="inlineStr"/>
      <c r="B6" s="6" t="inlineStr">
        <is>
          <t>Dashboard_SL監控</t>
        </is>
      </c>
      <c r="C6" s="7" t="inlineStr">
        <is>
          <t>12大商品即時 Bid／昨收／昨高比對，含個人化 SL 風控警戒判定</t>
        </is>
      </c>
      <c r="D6" s="6" t="inlineStr">
        <is>
          <t>來源檔 A</t>
        </is>
      </c>
    </row>
    <row r="7" ht="32" customHeight="1">
      <c r="A7" s="5" t="inlineStr"/>
      <c r="B7" s="6" t="inlineStr">
        <is>
          <t>Config_SL</t>
        </is>
      </c>
      <c r="C7" s="7" t="inlineStr">
        <is>
          <t>各商品個人化 SL 點數設定與商品類別</t>
        </is>
      </c>
      <c r="D7" s="6" t="inlineStr">
        <is>
          <t>來源檔 A</t>
        </is>
      </c>
    </row>
    <row r="8" ht="32" customHeight="1">
      <c r="A8" s="5" t="inlineStr"/>
      <c r="B8" s="6" t="inlineStr">
        <is>
          <t>Data_Feed</t>
        </is>
      </c>
      <c r="C8" s="7" t="inlineStr">
        <is>
          <t>各商品即時報價與三盤複合共振分析來源資料</t>
        </is>
      </c>
      <c r="D8" s="6" t="inlineStr">
        <is>
          <t>來源檔 A</t>
        </is>
      </c>
    </row>
    <row r="9" ht="20" customHeight="1">
      <c r="A9" s="4" t="inlineStr">
        <is>
          <t>C. 商品分析報告 v9（最新） － (12大商品 11指標综合)</t>
        </is>
      </c>
    </row>
    <row r="10" ht="32" customHeight="1">
      <c r="A10" s="5" t="inlineStr"/>
      <c r="B10" s="6" t="inlineStr">
        <is>
          <t>商品分析報告_v9最新</t>
        </is>
      </c>
      <c r="C10" s="7" t="inlineStr">
        <is>
          <t>12大商品：支撐壓力＋均線趨勢＋成交量＋11指標綜合分數／K棒型態／M15,H1共振／突破判斷</t>
        </is>
      </c>
      <c r="D10" s="6" t="inlineStr">
        <is>
          <t>來源檔 C（v9，最後更新 2026.09.13）</t>
        </is>
      </c>
    </row>
    <row r="11" ht="32" customHeight="1">
      <c r="A11" s="5" t="inlineStr"/>
      <c r="B11" s="6" t="inlineStr">
        <is>
          <t>Data_v9最新</t>
        </is>
      </c>
      <c r="C11" s="7" t="inlineStr">
        <is>
          <t>商品分析報告 v9 的原始資料來源（Excel_Monitor.csv 39欄）</t>
        </is>
      </c>
      <c r="D11" s="6" t="inlineStr">
        <is>
          <t>來源檔 C</t>
        </is>
      </c>
    </row>
    <row r="12" ht="20" customHeight="1">
      <c r="A12" s="4" t="inlineStr">
        <is>
          <t>B. 商品分析報告 v5（存檔） － (8大商品版本，供歷史比對)</t>
        </is>
      </c>
    </row>
    <row r="13" ht="32" customHeight="1">
      <c r="A13" s="5" t="inlineStr"/>
      <c r="B13" s="6" t="inlineStr">
        <is>
          <t>商品分析報告_v5存檔</t>
        </is>
      </c>
      <c r="C13" s="7" t="inlineStr">
        <is>
          <t>早期 8 大商品版本之支撐壓力／均線／成交量分析（v9 已擴充取代，保留供比對）</t>
        </is>
      </c>
      <c r="D13" s="6" t="inlineStr">
        <is>
          <t>來源檔 B（v5）</t>
        </is>
      </c>
    </row>
    <row r="14" ht="32" customHeight="1">
      <c r="A14" s="5" t="inlineStr"/>
      <c r="B14" s="6" t="inlineStr">
        <is>
          <t>Data_v5存檔</t>
        </is>
      </c>
      <c r="C14" s="7" t="inlineStr">
        <is>
          <t>商品分析報告 v5 的原始資料來源（Excel_Monitor.csv 32欄）</t>
        </is>
      </c>
      <c r="D14" s="6" t="inlineStr">
        <is>
          <t>來源檔 B</t>
        </is>
      </c>
    </row>
    <row r="15" ht="20" customHeight="1">
      <c r="A15" s="4" t="inlineStr">
        <is>
          <t>D. 回測與優化 － (M5雙策略、配對交易)</t>
        </is>
      </c>
    </row>
    <row r="16" ht="32" customHeight="1">
      <c r="A16" s="5" t="inlineStr"/>
      <c r="B16" s="6" t="inlineStr">
        <is>
          <t>回測控制與儀表板</t>
        </is>
      </c>
      <c r="C16" s="7" t="inlineStr">
        <is>
          <t>8大商品 x 2大 M5策略、11指標完全獨立優化、含對沖商品與實戰訊號</t>
        </is>
      </c>
      <c r="D16" s="6" t="inlineStr">
        <is>
          <t>來源檔 D</t>
        </is>
      </c>
    </row>
    <row r="17" ht="32" customHeight="1">
      <c r="A17" s="5" t="inlineStr"/>
      <c r="B17" s="6" t="inlineStr">
        <is>
          <t>Data_回測</t>
        </is>
      </c>
      <c r="C17" s="7" t="inlineStr">
        <is>
          <t>回測控制與儀表板之原始資料備份（結構相同）</t>
        </is>
      </c>
      <c r="D17" s="6" t="inlineStr">
        <is>
          <t>來源檔 D</t>
        </is>
      </c>
    </row>
    <row r="18" ht="32" customHeight="1">
      <c r="A18" s="5" t="inlineStr"/>
      <c r="B18" s="6" t="inlineStr">
        <is>
          <t>參數設定與明細</t>
        </is>
      </c>
      <c r="C18" s="7" t="inlineStr">
        <is>
          <t>USDJPY 多週期(M5/H1/H4/D1) 雙策略最佳參數設定明細</t>
        </is>
      </c>
      <c r="D18" s="6" t="inlineStr">
        <is>
          <t>來源檔 D</t>
        </is>
      </c>
    </row>
    <row r="19" ht="32" customHeight="1">
      <c r="A19" s="5" t="inlineStr"/>
      <c r="B19" s="6" t="inlineStr">
        <is>
          <t>歷史回測紀錄</t>
        </is>
      </c>
      <c r="C19" s="7" t="inlineStr">
        <is>
          <t>USDJPY M5 雙策略 3 年歷史回測績效紀錄</t>
        </is>
      </c>
      <c r="D19" s="6" t="inlineStr">
        <is>
          <t>來源檔 D</t>
        </is>
      </c>
    </row>
    <row r="20" ht="32" customHeight="1">
      <c r="A20" s="5" t="inlineStr"/>
      <c r="B20" s="6" t="inlineStr">
        <is>
          <t>各週期動態優化方案</t>
        </is>
      </c>
      <c r="C20" s="7" t="inlineStr">
        <is>
          <t>M5/H1/H4/D1 各週期動態 ATR SL/TP 與指標門檻優化方案</t>
        </is>
      </c>
      <c r="D20" s="6" t="inlineStr">
        <is>
          <t>來源檔 D</t>
        </is>
      </c>
    </row>
    <row r="21" ht="32" customHeight="1">
      <c r="A21" s="5" t="inlineStr"/>
      <c r="B21" s="6" t="inlineStr">
        <is>
          <t>配對交易與最佳方案</t>
        </is>
      </c>
      <c r="C21" s="7" t="inlineStr">
        <is>
          <t>多商品配對交易(Stat-Arb)相關係數、對沖比例與回測績效</t>
        </is>
      </c>
      <c r="D21" s="6" t="inlineStr">
        <is>
          <t>來源檔 D</t>
        </is>
      </c>
    </row>
    <row r="22" ht="32" customHeight="1">
      <c r="A22" s="5" t="inlineStr"/>
      <c r="B22" s="6" t="inlineStr">
        <is>
          <t>歷史資料下載與匯入模組</t>
        </is>
      </c>
      <c r="C22" s="7" t="inlineStr">
        <is>
          <t>MT5 3年歷史資料自動化匯出與 VBA 串接模組說明文件</t>
        </is>
      </c>
      <c r="D22" s="6" t="inlineStr">
        <is>
          <t>來源檔 D</t>
        </is>
      </c>
    </row>
    <row r="24" ht="90" customHeight="1">
      <c r="A24" s="8" t="inlineStr">
        <is>
          <t>備註：原始 4 份 .xlsm 檔皆內含 VBA 巨集（自動更新儀表板 / 產生回測表 / 讀取 MT5 CSV 等）。由於 4 份檔案的巨集彼此獨立且部分程序同名（如「手動一鍵更新三大策略報告」於 B、C 兩檔重複），直接合併二進位 VBA 專案有覆蓋風險，故本整合檔僅保留工作表資料與公式，未內嵌可執行巨集。各模組原始 VBA 原始碼已完整備份於「VBA原始碼備份(僅供參考)」分頁，供日後如需要恢復自動化時參考／貼回對應的獨立檔案。</t>
        </is>
      </c>
    </row>
  </sheetData>
  <mergeCells count="7">
    <mergeCell ref="A1:D1"/>
    <mergeCell ref="A5:D5"/>
    <mergeCell ref="A9:D9"/>
    <mergeCell ref="A12:D12"/>
    <mergeCell ref="A15:D15"/>
    <mergeCell ref="A24:D24"/>
    <mergeCell ref="A2:D2"/>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N16"/>
  <sheetViews>
    <sheetView workbookViewId="0">
      <selection activeCell="A1" sqref="A1"/>
    </sheetView>
  </sheetViews>
  <sheetFormatPr baseColWidth="8" defaultRowHeight="15"/>
  <cols>
    <col width="11.42578125" customWidth="1" min="1" max="1"/>
    <col width="6.28515625" customWidth="1" min="2" max="2"/>
    <col width="13.7109375" customWidth="1" min="3" max="3"/>
    <col width="13.140625" customWidth="1" min="4" max="4"/>
    <col width="11" customWidth="1" min="5" max="5"/>
    <col width="13.140625" customWidth="1" min="6" max="6"/>
    <col width="18.7109375" customWidth="1" min="7" max="7"/>
    <col width="18.28515625" customWidth="1" min="8" max="8"/>
    <col width="13.5703125" customWidth="1" min="9" max="9"/>
    <col width="12.28515625" customWidth="1" min="11" max="11"/>
    <col width="30" customWidth="1" min="12" max="12"/>
    <col width="46" customWidth="1" min="13" max="13"/>
    <col width="33.5703125" customWidth="1" min="14" max="14"/>
  </cols>
  <sheetData>
    <row r="1" ht="35.1" customHeight="1">
      <c r="A1" s="9" t="inlineStr">
        <is>
          <t xml:space="preserve"> 12 大商品即時監控與昨收對比 (2026/09/10 數據) / 個人化 SL 聯動 </t>
        </is>
      </c>
    </row>
    <row r="2"/>
    <row r="3"/>
    <row r="4" ht="24.95" customHeight="1">
      <c r="A4" s="10" t="inlineStr">
        <is>
          <t>商品代碼</t>
        </is>
      </c>
      <c r="B4" s="10" t="inlineStr">
        <is>
          <t>類別</t>
        </is>
      </c>
      <c r="C4" s="10" t="inlineStr">
        <is>
          <t>即時 Bid 價</t>
        </is>
      </c>
      <c r="D4" s="10" t="inlineStr">
        <is>
          <t>昨收 (9/10)</t>
        </is>
      </c>
      <c r="E4" s="10" t="inlineStr">
        <is>
          <t>歐盤中軸</t>
        </is>
      </c>
      <c r="F4" s="10" t="inlineStr">
        <is>
          <t>昨高 (9/10)</t>
        </is>
      </c>
      <c r="G4" s="10" t="inlineStr">
        <is>
          <t>對比昨收漲跌點</t>
        </is>
      </c>
      <c r="H4" s="10" t="inlineStr">
        <is>
          <t>當日漲跌幅 (%)</t>
        </is>
      </c>
      <c r="I4" s="10" t="inlineStr">
        <is>
          <t>距昨高點差</t>
        </is>
      </c>
      <c r="J4" s="10" t="inlineStr">
        <is>
          <t>距昨收點差</t>
        </is>
      </c>
      <c r="K4" s="10" t="inlineStr">
        <is>
          <t>個人化 SL</t>
        </is>
      </c>
      <c r="L4" s="10" t="inlineStr">
        <is>
          <t>指標共振狀態</t>
        </is>
      </c>
      <c r="M4" s="10" t="inlineStr">
        <is>
          <t>三盤極限判定</t>
        </is>
      </c>
      <c r="N4" s="10" t="inlineStr">
        <is>
          <t>風控聯動指引</t>
        </is>
      </c>
    </row>
    <row r="5">
      <c r="A5" s="11">
        <f>Data_Feed!A2</f>
        <v/>
      </c>
      <c r="B5" s="11">
        <f>Config_SL!C2</f>
        <v/>
      </c>
      <c r="C5" s="11">
        <f>Data_Feed!B2</f>
        <v/>
      </c>
      <c r="D5" s="11">
        <f>Data_Feed!C2</f>
        <v/>
      </c>
      <c r="E5" s="11">
        <f>Data_Feed!D2</f>
        <v/>
      </c>
      <c r="F5" s="11">
        <f>Data_Feed!E2</f>
        <v/>
      </c>
      <c r="G5" s="11">
        <f>C5-D5</f>
        <v/>
      </c>
      <c r="H5" s="12">
        <f>(C5-D5)/D5</f>
        <v/>
      </c>
      <c r="I5" s="11">
        <f>F5-C5</f>
        <v/>
      </c>
      <c r="J5" s="11">
        <f>C5-D5</f>
        <v/>
      </c>
      <c r="K5" s="11">
        <f>Config_SL!B2</f>
        <v/>
      </c>
      <c r="L5" s="11" t="inlineStr">
        <is>
          <t>EMA/MACD動能複合共振中</t>
        </is>
      </c>
      <c r="M5" s="11">
        <f>Data_Feed!F2</f>
        <v/>
      </c>
      <c r="N5" s="11">
        <f>IF(I5&lt;=K5,"【高位警戒】觸及 SL 風控防線","【安全運行】空間充足")</f>
        <v/>
      </c>
    </row>
    <row r="6">
      <c r="A6" s="11">
        <f>Data_Feed!A3</f>
        <v/>
      </c>
      <c r="B6" s="11">
        <f>Config_SL!C3</f>
        <v/>
      </c>
      <c r="C6" s="11">
        <f>Data_Feed!B3</f>
        <v/>
      </c>
      <c r="D6" s="11">
        <f>Data_Feed!C3</f>
        <v/>
      </c>
      <c r="E6" s="11">
        <f>Data_Feed!D3</f>
        <v/>
      </c>
      <c r="F6" s="11">
        <f>Data_Feed!E3</f>
        <v/>
      </c>
      <c r="G6" s="11">
        <f>C6-D6</f>
        <v/>
      </c>
      <c r="H6" s="12">
        <f>(C6-D6)/D6</f>
        <v/>
      </c>
      <c r="I6" s="11">
        <f>F6-C6</f>
        <v/>
      </c>
      <c r="J6" s="11">
        <f>C6-D6</f>
        <v/>
      </c>
      <c r="K6" s="11">
        <f>Config_SL!B3</f>
        <v/>
      </c>
      <c r="L6" s="11" t="inlineStr">
        <is>
          <t>EMA/MACD動能複合共振中</t>
        </is>
      </c>
      <c r="M6" s="11">
        <f>Data_Feed!F3</f>
        <v/>
      </c>
      <c r="N6" s="11">
        <f>IF(I6&lt;=K6,"【高位警戒】觸及 SL 風控防線","【安全運行】空間充足")</f>
        <v/>
      </c>
    </row>
    <row r="7">
      <c r="A7" s="11">
        <f>Data_Feed!A4</f>
        <v/>
      </c>
      <c r="B7" s="11">
        <f>Config_SL!C4</f>
        <v/>
      </c>
      <c r="C7" s="11">
        <f>Data_Feed!B4</f>
        <v/>
      </c>
      <c r="D7" s="11">
        <f>Data_Feed!C4</f>
        <v/>
      </c>
      <c r="E7" s="11">
        <f>Data_Feed!D4</f>
        <v/>
      </c>
      <c r="F7" s="11">
        <f>Data_Feed!E4</f>
        <v/>
      </c>
      <c r="G7" s="11">
        <f>C7-D7</f>
        <v/>
      </c>
      <c r="H7" s="12">
        <f>(C7-D7)/D7</f>
        <v/>
      </c>
      <c r="I7" s="11">
        <f>F7-C7</f>
        <v/>
      </c>
      <c r="J7" s="11">
        <f>C7-D7</f>
        <v/>
      </c>
      <c r="K7" s="11">
        <f>Config_SL!B4</f>
        <v/>
      </c>
      <c r="L7" s="11" t="inlineStr">
        <is>
          <t>EMA/MACD動能複合共振中</t>
        </is>
      </c>
      <c r="M7" s="11">
        <f>Data_Feed!F4</f>
        <v/>
      </c>
      <c r="N7" s="11">
        <f>IF(I7&lt;=K7,"【高位警戒】觸及 SL 風控防線","【安全運行】空間充足")</f>
        <v/>
      </c>
    </row>
    <row r="8">
      <c r="A8" s="11">
        <f>Data_Feed!A5</f>
        <v/>
      </c>
      <c r="B8" s="11">
        <f>Config_SL!C5</f>
        <v/>
      </c>
      <c r="C8" s="11">
        <f>Data_Feed!B5</f>
        <v/>
      </c>
      <c r="D8" s="11">
        <f>Data_Feed!C5</f>
        <v/>
      </c>
      <c r="E8" s="11">
        <f>Data_Feed!D5</f>
        <v/>
      </c>
      <c r="F8" s="11">
        <f>Data_Feed!E5</f>
        <v/>
      </c>
      <c r="G8" s="11">
        <f>C8-D8</f>
        <v/>
      </c>
      <c r="H8" s="12">
        <f>(C8-D8)/D8</f>
        <v/>
      </c>
      <c r="I8" s="11">
        <f>F8-C8</f>
        <v/>
      </c>
      <c r="J8" s="11">
        <f>C8-D8</f>
        <v/>
      </c>
      <c r="K8" s="11">
        <f>Config_SL!B5</f>
        <v/>
      </c>
      <c r="L8" s="11" t="inlineStr">
        <is>
          <t>EMA/MACD動能複合共振中</t>
        </is>
      </c>
      <c r="M8" s="11">
        <f>Data_Feed!F5</f>
        <v/>
      </c>
      <c r="N8" s="11">
        <f>IF(I8&lt;=K8,"【高位警戒】觸及 SL 風控防線","【安全運行】空間充足")</f>
        <v/>
      </c>
    </row>
    <row r="9">
      <c r="A9" s="11">
        <f>Data_Feed!A6</f>
        <v/>
      </c>
      <c r="B9" s="11">
        <f>Config_SL!C6</f>
        <v/>
      </c>
      <c r="C9" s="11">
        <f>Data_Feed!B6</f>
        <v/>
      </c>
      <c r="D9" s="11">
        <f>Data_Feed!C6</f>
        <v/>
      </c>
      <c r="E9" s="11">
        <f>Data_Feed!D6</f>
        <v/>
      </c>
      <c r="F9" s="11">
        <f>Data_Feed!E6</f>
        <v/>
      </c>
      <c r="G9" s="11">
        <f>C9-D9</f>
        <v/>
      </c>
      <c r="H9" s="12">
        <f>(C9-D9)/D9</f>
        <v/>
      </c>
      <c r="I9" s="11">
        <f>F9-C9</f>
        <v/>
      </c>
      <c r="J9" s="11">
        <f>C9-D9</f>
        <v/>
      </c>
      <c r="K9" s="11">
        <f>Config_SL!B6</f>
        <v/>
      </c>
      <c r="L9" s="11" t="inlineStr">
        <is>
          <t>EMA/MACD動能複合共振中</t>
        </is>
      </c>
      <c r="M9" s="11">
        <f>Data_Feed!F6</f>
        <v/>
      </c>
      <c r="N9" s="11">
        <f>IF(I9&lt;=K9,"【高位警戒】觸及 SL 風控防線","【安全運行】空間充足")</f>
        <v/>
      </c>
    </row>
    <row r="10">
      <c r="A10" s="11">
        <f>Data_Feed!A7</f>
        <v/>
      </c>
      <c r="B10" s="11">
        <f>Config_SL!C7</f>
        <v/>
      </c>
      <c r="C10" s="11">
        <f>Data_Feed!B7</f>
        <v/>
      </c>
      <c r="D10" s="11">
        <f>Data_Feed!C7</f>
        <v/>
      </c>
      <c r="E10" s="11">
        <f>Data_Feed!D7</f>
        <v/>
      </c>
      <c r="F10" s="11">
        <f>Data_Feed!E7</f>
        <v/>
      </c>
      <c r="G10" s="11">
        <f>C10-D10</f>
        <v/>
      </c>
      <c r="H10" s="12">
        <f>(C10-D10)/D10</f>
        <v/>
      </c>
      <c r="I10" s="11">
        <f>F10-C10</f>
        <v/>
      </c>
      <c r="J10" s="11">
        <f>C10-D10</f>
        <v/>
      </c>
      <c r="K10" s="11">
        <f>Config_SL!B7</f>
        <v/>
      </c>
      <c r="L10" s="11" t="inlineStr">
        <is>
          <t>EMA/MACD動能複合共振中</t>
        </is>
      </c>
      <c r="M10" s="11">
        <f>Data_Feed!F7</f>
        <v/>
      </c>
      <c r="N10" s="11">
        <f>IF(I10&lt;=K10,"【高位警戒】觸及 SL 風控防線","【安全運行】空間充足")</f>
        <v/>
      </c>
    </row>
    <row r="11">
      <c r="A11" s="11">
        <f>Data_Feed!A8</f>
        <v/>
      </c>
      <c r="B11" s="11">
        <f>Config_SL!C8</f>
        <v/>
      </c>
      <c r="C11" s="11">
        <f>Data_Feed!B8</f>
        <v/>
      </c>
      <c r="D11" s="11">
        <f>Data_Feed!C8</f>
        <v/>
      </c>
      <c r="E11" s="11">
        <f>Data_Feed!D8</f>
        <v/>
      </c>
      <c r="F11" s="11">
        <f>Data_Feed!E8</f>
        <v/>
      </c>
      <c r="G11" s="11">
        <f>C11-D11</f>
        <v/>
      </c>
      <c r="H11" s="12">
        <f>(C11-D11)/D11</f>
        <v/>
      </c>
      <c r="I11" s="11">
        <f>F11-C11</f>
        <v/>
      </c>
      <c r="J11" s="11">
        <f>C11-D11</f>
        <v/>
      </c>
      <c r="K11" s="11">
        <f>Config_SL!B8</f>
        <v/>
      </c>
      <c r="L11" s="11" t="inlineStr">
        <is>
          <t>EMA/MACD動能複合共振中</t>
        </is>
      </c>
      <c r="M11" s="11">
        <f>Data_Feed!F8</f>
        <v/>
      </c>
      <c r="N11" s="11">
        <f>IF(I11&lt;=K11,"【高位警戒】觸及 SL 風控防線","【安全運行】空間充足")</f>
        <v/>
      </c>
    </row>
    <row r="12">
      <c r="A12" s="11">
        <f>Data_Feed!A9</f>
        <v/>
      </c>
      <c r="B12" s="11">
        <f>Config_SL!C9</f>
        <v/>
      </c>
      <c r="C12" s="11">
        <f>Data_Feed!B9</f>
        <v/>
      </c>
      <c r="D12" s="11">
        <f>Data_Feed!C9</f>
        <v/>
      </c>
      <c r="E12" s="11">
        <f>Data_Feed!D9</f>
        <v/>
      </c>
      <c r="F12" s="11">
        <f>Data_Feed!E9</f>
        <v/>
      </c>
      <c r="G12" s="11">
        <f>C12-D12</f>
        <v/>
      </c>
      <c r="H12" s="12">
        <f>(C12-D12)/D12</f>
        <v/>
      </c>
      <c r="I12" s="11">
        <f>F12-C12</f>
        <v/>
      </c>
      <c r="J12" s="11">
        <f>C12-D12</f>
        <v/>
      </c>
      <c r="K12" s="11">
        <f>Config_SL!B9</f>
        <v/>
      </c>
      <c r="L12" s="11" t="inlineStr">
        <is>
          <t>EMA/MACD動能複合共振中</t>
        </is>
      </c>
      <c r="M12" s="11">
        <f>Data_Feed!F9</f>
        <v/>
      </c>
      <c r="N12" s="11">
        <f>IF(I12&lt;=K12,"【高位警戒】觸及 SL 風控防線","【安全運行】空間充足")</f>
        <v/>
      </c>
    </row>
    <row r="13">
      <c r="A13" s="11">
        <f>Data_Feed!A10</f>
        <v/>
      </c>
      <c r="B13" s="11">
        <f>Config_SL!C10</f>
        <v/>
      </c>
      <c r="C13" s="11">
        <f>Data_Feed!B10</f>
        <v/>
      </c>
      <c r="D13" s="11">
        <f>Data_Feed!C10</f>
        <v/>
      </c>
      <c r="E13" s="11">
        <f>Data_Feed!D10</f>
        <v/>
      </c>
      <c r="F13" s="11">
        <f>Data_Feed!E10</f>
        <v/>
      </c>
      <c r="G13" s="11">
        <f>C13-D13</f>
        <v/>
      </c>
      <c r="H13" s="12">
        <f>(C13-D13)/D13</f>
        <v/>
      </c>
      <c r="I13" s="11">
        <f>F13-C13</f>
        <v/>
      </c>
      <c r="J13" s="11">
        <f>C13-D13</f>
        <v/>
      </c>
      <c r="K13" s="11">
        <f>Config_SL!B10</f>
        <v/>
      </c>
      <c r="L13" s="11" t="inlineStr">
        <is>
          <t>EMA/MACD動能複合共振中</t>
        </is>
      </c>
      <c r="M13" s="11">
        <f>Data_Feed!F10</f>
        <v/>
      </c>
      <c r="N13" s="11">
        <f>IF(I13&lt;=K13,"【高位警戒】觸及 SL 風控防線","【安全運行】空間充足")</f>
        <v/>
      </c>
    </row>
    <row r="14">
      <c r="A14" s="11">
        <f>Data_Feed!A11</f>
        <v/>
      </c>
      <c r="B14" s="11">
        <f>Config_SL!C11</f>
        <v/>
      </c>
      <c r="C14" s="11">
        <f>Data_Feed!B11</f>
        <v/>
      </c>
      <c r="D14" s="11">
        <f>Data_Feed!C11</f>
        <v/>
      </c>
      <c r="E14" s="11">
        <f>Data_Feed!D11</f>
        <v/>
      </c>
      <c r="F14" s="11">
        <f>Data_Feed!E11</f>
        <v/>
      </c>
      <c r="G14" s="11">
        <f>C14-D14</f>
        <v/>
      </c>
      <c r="H14" s="12">
        <f>(C14-D14)/D14</f>
        <v/>
      </c>
      <c r="I14" s="11">
        <f>F14-C14</f>
        <v/>
      </c>
      <c r="J14" s="11">
        <f>C14-D14</f>
        <v/>
      </c>
      <c r="K14" s="11">
        <f>Config_SL!B11</f>
        <v/>
      </c>
      <c r="L14" s="11" t="inlineStr">
        <is>
          <t>EMA/MACD動能複合共振中</t>
        </is>
      </c>
      <c r="M14" s="11">
        <f>Data_Feed!F11</f>
        <v/>
      </c>
      <c r="N14" s="11">
        <f>IF(I14&lt;=K14,"【高位警戒】觸及 SL 風控防線","【安全運行】空間充足")</f>
        <v/>
      </c>
    </row>
    <row r="15">
      <c r="A15" s="11">
        <f>Data_Feed!A12</f>
        <v/>
      </c>
      <c r="B15" s="11">
        <f>Config_SL!C12</f>
        <v/>
      </c>
      <c r="C15" s="11">
        <f>Data_Feed!B12</f>
        <v/>
      </c>
      <c r="D15" s="11">
        <f>Data_Feed!C12</f>
        <v/>
      </c>
      <c r="E15" s="11">
        <f>Data_Feed!D12</f>
        <v/>
      </c>
      <c r="F15" s="11">
        <f>Data_Feed!E12</f>
        <v/>
      </c>
      <c r="G15" s="11">
        <f>C15-D15</f>
        <v/>
      </c>
      <c r="H15" s="12">
        <f>(C15-D15)/D15</f>
        <v/>
      </c>
      <c r="I15" s="11">
        <f>F15-C15</f>
        <v/>
      </c>
      <c r="J15" s="11">
        <f>C15-D15</f>
        <v/>
      </c>
      <c r="K15" s="11">
        <f>Config_SL!B12</f>
        <v/>
      </c>
      <c r="L15" s="11" t="inlineStr">
        <is>
          <t>EMA/MACD動能複合共振中</t>
        </is>
      </c>
      <c r="M15" s="11">
        <f>Data_Feed!F12</f>
        <v/>
      </c>
      <c r="N15" s="11">
        <f>IF(I15&lt;=K15,"【高位警戒】觸及 SL 風控防線","【安全運行】空間充足")</f>
        <v/>
      </c>
    </row>
    <row r="16">
      <c r="A16" s="11">
        <f>Data_Feed!A13</f>
        <v/>
      </c>
      <c r="B16" s="11">
        <f>Config_SL!C13</f>
        <v/>
      </c>
      <c r="C16" s="11">
        <f>Data_Feed!B13</f>
        <v/>
      </c>
      <c r="D16" s="11">
        <f>Data_Feed!C13</f>
        <v/>
      </c>
      <c r="E16" s="11">
        <f>Data_Feed!D13</f>
        <v/>
      </c>
      <c r="F16" s="11">
        <f>Data_Feed!E13</f>
        <v/>
      </c>
      <c r="G16" s="11">
        <f>C16-D16</f>
        <v/>
      </c>
      <c r="H16" s="12">
        <f>(C16-D16)/D16</f>
        <v/>
      </c>
      <c r="I16" s="11">
        <f>F16-C16</f>
        <v/>
      </c>
      <c r="J16" s="11">
        <f>C16-D16</f>
        <v/>
      </c>
      <c r="K16" s="11">
        <f>Config_SL!B13</f>
        <v/>
      </c>
      <c r="L16" s="11" t="inlineStr">
        <is>
          <t>EMA/MACD動能複合共振中</t>
        </is>
      </c>
      <c r="M16" s="11">
        <f>Data_Feed!F13</f>
        <v/>
      </c>
      <c r="N16" s="11">
        <f>IF(I16&lt;=K16,"【高位警戒】觸及 SL 風控防線","【安全運行】空間充足")</f>
        <v/>
      </c>
    </row>
  </sheetData>
  <mergeCells count="1">
    <mergeCell ref="A1:N1"/>
  </mergeCell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C13"/>
  <sheetViews>
    <sheetView workbookViewId="0">
      <selection activeCell="A1" sqref="A1"/>
    </sheetView>
  </sheetViews>
  <sheetFormatPr baseColWidth="8" defaultRowHeight="15"/>
  <cols>
    <col width="11.42578125" customWidth="1" min="1" max="1"/>
    <col width="31" customWidth="1" min="2" max="2"/>
    <col width="10.28515625" customWidth="1" min="3" max="3"/>
  </cols>
  <sheetData>
    <row r="1">
      <c r="A1" t="inlineStr">
        <is>
          <t>商品代碼</t>
        </is>
      </c>
      <c r="B1" t="inlineStr">
        <is>
          <t>個人化 SL 設定值 (價格點數)</t>
        </is>
      </c>
      <c r="C1" t="inlineStr">
        <is>
          <t>商品類別</t>
        </is>
      </c>
    </row>
    <row r="2">
      <c r="A2" t="inlineStr">
        <is>
          <t>EURUSD</t>
        </is>
      </c>
      <c r="B2" t="n">
        <v>0.0095</v>
      </c>
      <c r="C2" t="inlineStr">
        <is>
          <t>外匯</t>
        </is>
      </c>
    </row>
    <row r="3">
      <c r="A3" t="inlineStr">
        <is>
          <t>GBPUSD</t>
        </is>
      </c>
      <c r="B3" t="n">
        <v>0.012</v>
      </c>
      <c r="C3" t="inlineStr">
        <is>
          <t>外匯</t>
        </is>
      </c>
    </row>
    <row r="4">
      <c r="A4" t="inlineStr">
        <is>
          <t>AUDUSD</t>
        </is>
      </c>
      <c r="B4" t="n">
        <v>0.008</v>
      </c>
      <c r="C4" t="inlineStr">
        <is>
          <t>外匯</t>
        </is>
      </c>
    </row>
    <row r="5">
      <c r="A5" t="inlineStr">
        <is>
          <t>NZDUSD</t>
        </is>
      </c>
      <c r="B5" t="n">
        <v>0.0075</v>
      </c>
      <c r="C5" t="inlineStr">
        <is>
          <t>外匯</t>
        </is>
      </c>
    </row>
    <row r="6">
      <c r="A6" t="inlineStr">
        <is>
          <t>USDCAD</t>
        </is>
      </c>
      <c r="B6" t="n">
        <v>0.008500000000000001</v>
      </c>
      <c r="C6" t="inlineStr">
        <is>
          <t>外匯</t>
        </is>
      </c>
    </row>
    <row r="7">
      <c r="A7" t="inlineStr">
        <is>
          <t>USDJPY</t>
        </is>
      </c>
      <c r="B7" t="n">
        <v>1.1</v>
      </c>
      <c r="C7" t="inlineStr">
        <is>
          <t>外匯</t>
        </is>
      </c>
    </row>
    <row r="8">
      <c r="A8" t="inlineStr">
        <is>
          <t>USDCHF</t>
        </is>
      </c>
      <c r="B8" t="n">
        <v>0.01</v>
      </c>
      <c r="C8" t="inlineStr">
        <is>
          <t>外匯</t>
        </is>
      </c>
    </row>
    <row r="9">
      <c r="A9" t="inlineStr">
        <is>
          <t>USDCNH</t>
        </is>
      </c>
      <c r="B9" t="n">
        <v>0.01</v>
      </c>
      <c r="C9" t="inlineStr">
        <is>
          <t>外匯</t>
        </is>
      </c>
    </row>
    <row r="10">
      <c r="A10" t="inlineStr">
        <is>
          <t>US500.cash</t>
        </is>
      </c>
      <c r="B10" t="n">
        <v>30</v>
      </c>
      <c r="C10" t="inlineStr">
        <is>
          <t>股指</t>
        </is>
      </c>
    </row>
    <row r="11">
      <c r="A11" t="inlineStr">
        <is>
          <t>US30.cash</t>
        </is>
      </c>
      <c r="B11" t="n">
        <v>200</v>
      </c>
      <c r="C11" t="inlineStr">
        <is>
          <t>股指</t>
        </is>
      </c>
    </row>
    <row r="12">
      <c r="A12" t="inlineStr">
        <is>
          <t>US100.cash</t>
        </is>
      </c>
      <c r="B12" t="n">
        <v>100</v>
      </c>
      <c r="C12" t="inlineStr">
        <is>
          <t>股指</t>
        </is>
      </c>
    </row>
    <row r="13">
      <c r="A13" t="inlineStr">
        <is>
          <t>JP225.cash</t>
        </is>
      </c>
      <c r="B13" t="n">
        <v>200</v>
      </c>
      <c r="C13" t="inlineStr">
        <is>
          <t>股指</t>
        </is>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F13"/>
  <sheetViews>
    <sheetView workbookViewId="0">
      <selection activeCell="A1" sqref="A1"/>
    </sheetView>
  </sheetViews>
  <sheetFormatPr baseColWidth="8" defaultRowHeight="15"/>
  <cols>
    <col width="11.42578125" customWidth="1" min="1" max="1"/>
    <col width="11.140625" customWidth="1" min="2" max="2"/>
    <col width="17.7109375" customWidth="1" min="3" max="3"/>
    <col width="15.7109375" customWidth="1" min="4" max="4"/>
    <col width="17.7109375" customWidth="1" min="5" max="5"/>
    <col width="46" customWidth="1" min="6" max="6"/>
  </cols>
  <sheetData>
    <row r="1">
      <c r="A1" t="inlineStr">
        <is>
          <t>商品</t>
        </is>
      </c>
      <c r="B1" t="inlineStr">
        <is>
          <t>即時Bid價</t>
        </is>
      </c>
      <c r="C1" t="inlineStr">
        <is>
          <t>有效昨收 (09/10)</t>
        </is>
      </c>
      <c r="D1" t="inlineStr">
        <is>
          <t>歐盤中軸/Pivot</t>
        </is>
      </c>
      <c r="E1" t="inlineStr">
        <is>
          <t>有效昨高 (09/10)</t>
        </is>
      </c>
      <c r="F1" t="inlineStr">
        <is>
          <t>三盤與指標複合共振分析</t>
        </is>
      </c>
    </row>
    <row r="2">
      <c r="A2" t="inlineStr">
        <is>
          <t>EURUSD</t>
        </is>
      </c>
      <c r="B2" t="n">
        <v>1.15946</v>
      </c>
      <c r="C2" t="n">
        <v>1.158</v>
      </c>
      <c r="D2" t="n">
        <v>1.16</v>
      </c>
      <c r="E2" t="n">
        <v>1.1625</v>
      </c>
      <c r="F2">
        <f>IF(B2&gt;=E2,"[突破確認] 實體突破昨高 - 順勢追多",IF(B2&lt;=C2,"[跌破確認] 實體貫穿昨收 - 順勢追空",IF(B2&gt;=E2*0.998,"[極限反轉警戒] 逼近昨高壓力區 - 嚴禁追高",IF(B2&lt;=C2*1.002,"[極限反轉警戒] 逼近昨收支撐區 - 準備反轉","[區間震盪共振] 距昨高 "&amp;TEXT(E2-B2,"0.0000")&amp;" 點"))))</f>
        <v/>
      </c>
    </row>
    <row r="3">
      <c r="A3" t="inlineStr">
        <is>
          <t>GBPUSD</t>
        </is>
      </c>
      <c r="B3" t="n">
        <v>1.3185</v>
      </c>
      <c r="C3" t="n">
        <v>1.315</v>
      </c>
      <c r="D3" t="n">
        <v>1.3175</v>
      </c>
      <c r="E3" t="n">
        <v>1.321</v>
      </c>
      <c r="F3">
        <f>IF(B3&gt;=E3,"[突破確認] 實體突破昨高 - 順勢追多",IF(B3&lt;=C3,"[跌破確認] 實體貫穿昨收 - 順勢追空",IF(B3&gt;=E3*0.998,"[極限反轉警戒] 逼近昨高壓力區 - 嚴禁追高",IF(B3&lt;=C3*1.002,"[極限反轉警戒] 逼近昨收支撐區 - 準備反轉","[區間震盪共振] 距昨高 "&amp;TEXT(E3-B3,"0.0000")&amp;" 點"))))</f>
        <v/>
      </c>
    </row>
    <row r="4">
      <c r="A4" t="inlineStr">
        <is>
          <t>AUDUSD</t>
        </is>
      </c>
      <c r="B4" t="n">
        <v>0.71432</v>
      </c>
      <c r="C4" t="n">
        <v>0.7135</v>
      </c>
      <c r="D4" t="n">
        <v>0.715</v>
      </c>
      <c r="E4" t="n">
        <v>0.7175</v>
      </c>
      <c r="F4">
        <f>IF(B4&gt;=E4,"[突破確認] 實體突破昨高 - 順勢追多",IF(B4&lt;=C4,"[跌破確認] 實體貫穿昨收 - 順勢追空",IF(B4&gt;=E4*0.998,"[極限反轉警戒] 逼近昨高壓力區 - 嚴禁追高",IF(B4&lt;=C4*1.002,"[極限反轉警戒] 逼近昨收支撐區 - 準備反轉","[區間震盪共振] 距昨高 "&amp;TEXT(E4-B4,"0.0000")&amp;" 點"))))</f>
        <v/>
      </c>
    </row>
    <row r="5">
      <c r="A5" t="inlineStr">
        <is>
          <t>NZDUSD</t>
        </is>
      </c>
      <c r="B5" t="n">
        <v>0.6215000000000001</v>
      </c>
      <c r="C5" t="n">
        <v>0.619</v>
      </c>
      <c r="D5" t="n">
        <v>0.621</v>
      </c>
      <c r="E5" t="n">
        <v>0.624</v>
      </c>
      <c r="F5">
        <f>IF(B5&gt;=E5,"[突破確認] 實體突破昨高 - 順勢追多",IF(B5&lt;=C5,"[跌破確認] 實體貫穿昨收 - 順勢追空",IF(B5&gt;=E5*0.998,"[極限反轉警戒] 逼近昨高壓力區 - 嚴禁追高",IF(B5&lt;=C5*1.002,"[極限反轉警戒] 逼近昨收支撐區 - 準備反轉","[區間震盪共振] 距昨高 "&amp;TEXT(E5-B5,"0.0000")&amp;" 點"))))</f>
        <v/>
      </c>
    </row>
    <row r="6">
      <c r="A6" t="inlineStr">
        <is>
          <t>USDCAD</t>
        </is>
      </c>
      <c r="B6" t="n">
        <v>1.3525</v>
      </c>
      <c r="C6" t="n">
        <v>1.35</v>
      </c>
      <c r="D6" t="n">
        <v>1.352</v>
      </c>
      <c r="E6" t="n">
        <v>1.355</v>
      </c>
      <c r="F6">
        <f>IF(B6&gt;=E6,"[突破確認] 實體突破昨高 - 順勢追多",IF(B6&lt;=C6,"[跌破確認] 實體貫穿昨收 - 順勢追空",IF(B6&gt;=E6*0.998,"[極限反轉警戒] 逼近昨高壓力區 - 嚴禁追高",IF(B6&lt;=C6*1.002,"[極限反轉警戒] 逼近昨收支撐區 - 準備反轉","[區間震盪共振] 距昨高 "&amp;TEXT(E6-B6,"0.0000")&amp;" 點"))))</f>
        <v/>
      </c>
    </row>
    <row r="7">
      <c r="A7" t="inlineStr">
        <is>
          <t>USDJPY</t>
        </is>
      </c>
      <c r="B7" t="n">
        <v>159.85</v>
      </c>
      <c r="C7" t="n">
        <v>159.2</v>
      </c>
      <c r="D7" t="n">
        <v>159.6</v>
      </c>
      <c r="E7" t="n">
        <v>160.1</v>
      </c>
      <c r="F7">
        <f>IF(B7&gt;=E7,"[突破確認] 實體突破昨高 - 順勢追多",IF(B7&lt;=C7,"[跌破確認] 實體貫穿昨收 - 順勢追空",IF(B7&gt;=E7*0.998,"[極限反轉警戒] 逼近昨高壓力區 - 嚴禁追高",IF(B7&lt;=C7*1.002,"[極限反轉警戒] 逼近昨收支撐區 - 準備反轉","[區間震盪共振] 距昨高 "&amp;TEXT(E7-B7,"0.0000")&amp;" 點"))))</f>
        <v/>
      </c>
    </row>
    <row r="8">
      <c r="A8" t="inlineStr">
        <is>
          <t>USDCHF</t>
        </is>
      </c>
      <c r="B8" t="n">
        <v>0.80987</v>
      </c>
      <c r="C8" t="n">
        <v>0.805</v>
      </c>
      <c r="D8" t="n">
        <v>0.8075</v>
      </c>
      <c r="E8" t="n">
        <v>0.8105</v>
      </c>
      <c r="F8">
        <f>IF(B8&gt;=E8,"[突破確認] 實體突破昨高 - 順勢追多",IF(B8&lt;=C8,"[跌破確認] 實體貫穿昨收 - 順勢追空",IF(B8&gt;=E8*0.998,"[極限反轉警戒] 逼近昨高壓力區 - 嚴禁追高",IF(B8&lt;=C8*1.002,"[極限反轉警戒] 逼近昨收支撐區 - 準備反轉","[區間震盪共振] 距昨高 "&amp;TEXT(E8-B8,"0.0000")&amp;" 點"))))</f>
        <v/>
      </c>
    </row>
    <row r="9">
      <c r="A9" t="inlineStr">
        <is>
          <t>USDCNH</t>
        </is>
      </c>
      <c r="B9" t="n">
        <v>7.185</v>
      </c>
      <c r="C9" t="n">
        <v>7.175</v>
      </c>
      <c r="D9" t="n">
        <v>7.18</v>
      </c>
      <c r="E9" t="n">
        <v>7.19</v>
      </c>
      <c r="F9">
        <f>IF(B9&gt;=E9,"[突破確認] 實體突破昨高 - 順勢追多",IF(B9&lt;=C9,"[跌破確認] 實體貫穿昨收 - 順勢追空",IF(B9&gt;=E9*0.998,"[極限反轉警戒] 逼近昨高壓力區 - 嚴禁追高",IF(B9&lt;=C9*1.002,"[極限反轉警戒] 逼近昨收支撐區 - 準備反轉","[區間震盪共振] 距昨高 "&amp;TEXT(E9-B9,"0.0000")&amp;" 點"))))</f>
        <v/>
      </c>
    </row>
    <row r="10">
      <c r="A10" t="inlineStr">
        <is>
          <t>US500.cash</t>
        </is>
      </c>
      <c r="B10" t="n">
        <v>5645.2</v>
      </c>
      <c r="C10" t="n">
        <v>5620</v>
      </c>
      <c r="D10" t="n">
        <v>5635</v>
      </c>
      <c r="E10" t="n">
        <v>5660</v>
      </c>
      <c r="F10">
        <f>IF(B10&gt;=E10,"[突破確認] 實體突破昨高 - 順勢追多",IF(B10&lt;=C10,"[跌破確認] 實體貫穿昨收 - 順勢追空",IF(B10&gt;=E10*0.998,"[極限反轉警戒] 逼近昨高壓力區 - 嚴禁追高",IF(B10&lt;=C10*1.002,"[極限反轉警戒] 逼近昨收支撐區 - 準備反轉","[區間震盪共振] 距昨高 "&amp;TEXT(E10-B10,"0.0000")&amp;" 點"))))</f>
        <v/>
      </c>
    </row>
    <row r="11">
      <c r="A11" t="inlineStr">
        <is>
          <t>US30.cash</t>
        </is>
      </c>
      <c r="B11" t="n">
        <v>40890</v>
      </c>
      <c r="C11" t="n">
        <v>40750</v>
      </c>
      <c r="D11" t="n">
        <v>40820</v>
      </c>
      <c r="E11" t="n">
        <v>40950</v>
      </c>
      <c r="F11">
        <f>IF(B11&gt;=E11,"[突破確認] 實體突破昨高 - 順勢追多",IF(B11&lt;=C11,"[跌破確認] 實體貫穿昨收 - 順勢追空",IF(B11&gt;=E11*0.998,"[極限反轉警戒] 逼近昨高壓力區 - 嚴禁追高",IF(B11&lt;=C11*1.002,"[極限反轉警戒] 逼近昨收支撐區 - 準備反轉","[區間震盪共振] 距昨高 "&amp;TEXT(E11-B11,"0.0000")&amp;" 點"))))</f>
        <v/>
      </c>
    </row>
    <row r="12">
      <c r="A12" t="inlineStr">
        <is>
          <t>US100.cash</t>
        </is>
      </c>
      <c r="B12" t="n">
        <v>19860.5</v>
      </c>
      <c r="C12" t="n">
        <v>19700</v>
      </c>
      <c r="D12" t="n">
        <v>19800</v>
      </c>
      <c r="E12" t="n">
        <v>19900</v>
      </c>
      <c r="F12">
        <f>IF(B12&gt;=E12,"[突破確認] 實體突破昨高 - 順勢追多",IF(B12&lt;=C12,"[跌破確認] 實體貫穿昨收 - 順勢追空",IF(B12&gt;=E12*0.998,"[極限反轉警戒] 逼近昨高壓力區 - 嚴禁追高",IF(B12&lt;=C12*1.002,"[極限反轉警戒] 逼近昨收支撐區 - 準備反轉","[區間震盪共振] 距昨高 "&amp;TEXT(E12-B12,"0.0000")&amp;" 點"))))</f>
        <v/>
      </c>
    </row>
    <row r="13">
      <c r="A13" t="inlineStr">
        <is>
          <t>JP225.cash</t>
        </is>
      </c>
      <c r="B13" t="n">
        <v>38450</v>
      </c>
      <c r="C13" t="n">
        <v>38100</v>
      </c>
      <c r="D13" t="n">
        <v>38300</v>
      </c>
      <c r="E13" t="n">
        <v>38600</v>
      </c>
      <c r="F13">
        <f>IF(B13&gt;=E13,"[突破確認] 實體突破昨高 - 順勢追多",IF(B13&lt;=C13,"[跌破確認] 實體貫穿昨收 - 順勢追空",IF(B13&gt;=E13*0.998,"[極限反轉警戒] 逼近昨高壓力區 - 嚴禁追高",IF(B13&lt;=C13*1.002,"[極限反轉警戒] 逼近昨收支撐區 - 準備反轉","[區間震盪共振] 距昨高 "&amp;TEXT(E13-B13,"0.0000")&amp;" 點"))))</f>
        <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AI16"/>
  <sheetViews>
    <sheetView workbookViewId="0">
      <pane ySplit="1" topLeftCell="A2" activePane="bottomLeft" state="frozen"/>
      <selection pane="bottomLeft" activeCell="A1" sqref="A1"/>
    </sheetView>
  </sheetViews>
  <sheetFormatPr baseColWidth="8" defaultRowHeight="15"/>
  <cols>
    <col width="11.7109375" customWidth="1" min="1" max="1"/>
    <col width="12.7109375" customWidth="1" min="2" max="2"/>
    <col width="16.7109375" customWidth="1" min="18" max="18"/>
    <col width="12.7109375" customWidth="1" min="19" max="19"/>
    <col width="14.7109375" customWidth="1" min="22" max="22"/>
    <col width="10.7109375" customWidth="1" min="23" max="23"/>
    <col width="14.7109375" customWidth="1" min="24" max="24"/>
    <col width="12.7109375" customWidth="1" min="25" max="25"/>
    <col width="14.7109375" customWidth="1" min="27" max="27"/>
    <col width="18.7109375" customWidth="1" min="28" max="28"/>
    <col width="38.7109375" customWidth="1" min="30" max="30"/>
    <col width="20.7109375" customWidth="1" min="31" max="31"/>
    <col width="19.5703125" customWidth="1" min="32" max="32"/>
    <col width="15.140625" customWidth="1" min="35" max="35"/>
  </cols>
  <sheetData>
    <row r="1" ht="32.1" customHeight="1">
      <c r="A1" s="13" t="inlineStr">
        <is>
          <t>8 大商品 MT5 即時交易分析與極限防線監控</t>
        </is>
      </c>
    </row>
    <row r="2">
      <c r="A2" s="14" t="inlineStr">
        <is>
          <t>支撐壓力＋均線趨勢＋成交量三大核心判斷</t>
        </is>
      </c>
    </row>
    <row r="3">
      <c r="A3" t="inlineStr">
        <is>
          <t>最後更新時間：2026.09.13 00:12:06</t>
        </is>
      </c>
    </row>
    <row r="4" ht="42" customHeight="1">
      <c r="A4" s="15" t="inlineStr">
        <is>
          <t>商品</t>
        </is>
      </c>
      <c r="B4" s="15" t="inlineStr">
        <is>
          <t>即時 Bid</t>
        </is>
      </c>
      <c r="C4" s="15" t="inlineStr">
        <is>
          <t>週支撐</t>
        </is>
      </c>
      <c r="D4" s="15" t="inlineStr">
        <is>
          <t>週壓力</t>
        </is>
      </c>
      <c r="E4" s="15" t="inlineStr">
        <is>
          <t>近支撐</t>
        </is>
      </c>
      <c r="F4" s="15" t="inlineStr">
        <is>
          <t>近壓力</t>
        </is>
      </c>
      <c r="G4" s="15" t="inlineStr">
        <is>
          <t>短MA</t>
        </is>
      </c>
      <c r="H4" s="15" t="inlineStr">
        <is>
          <t>長MA</t>
        </is>
      </c>
      <c r="I4" s="15" t="inlineStr">
        <is>
          <t>EMA</t>
        </is>
      </c>
      <c r="J4" s="15" t="inlineStr">
        <is>
          <t>短MA斜率%</t>
        </is>
      </c>
      <c r="K4" s="15" t="inlineStr">
        <is>
          <t>長MA斜率%</t>
        </is>
      </c>
      <c r="L4" s="15" t="inlineStr">
        <is>
          <t>EMA斜率%</t>
        </is>
      </c>
      <c r="M4" s="15" t="inlineStr">
        <is>
          <t>均線排列</t>
        </is>
      </c>
      <c r="N4" s="15" t="inlineStr">
        <is>
          <t>交叉狀態</t>
        </is>
      </c>
      <c r="O4" s="15" t="inlineStr">
        <is>
          <t>趨勢分數</t>
        </is>
      </c>
      <c r="P4" s="15" t="inlineStr">
        <is>
          <t>趨勢判定</t>
        </is>
      </c>
      <c r="Q4" s="15" t="inlineStr">
        <is>
          <t>個人化SL(ATR)</t>
        </is>
      </c>
      <c r="R4" s="15" t="inlineStr">
        <is>
          <t>目前量</t>
        </is>
      </c>
      <c r="S4" s="15" t="inlineStr">
        <is>
          <t>平均量</t>
        </is>
      </c>
      <c r="T4" s="15" t="inlineStr">
        <is>
          <t>量能狀態</t>
        </is>
      </c>
      <c r="U4" s="15" t="inlineStr">
        <is>
          <t>最終訊號</t>
        </is>
      </c>
      <c r="V4" s="15" t="inlineStr">
        <is>
          <t>M15多頭票</t>
        </is>
      </c>
      <c r="W4" s="15" t="inlineStr">
        <is>
          <t>M15空頭票</t>
        </is>
      </c>
      <c r="X4" s="15" t="inlineStr">
        <is>
          <t>M15共振狀態</t>
        </is>
      </c>
      <c r="Y4" s="15" t="inlineStr">
        <is>
          <t>H1多頭票</t>
        </is>
      </c>
      <c r="Z4" s="15" t="inlineStr">
        <is>
          <t>H1空頭票</t>
        </is>
      </c>
      <c r="AA4" s="15" t="inlineStr">
        <is>
          <t>H1共振狀態</t>
        </is>
      </c>
      <c r="AB4" s="15" t="inlineStr">
        <is>
          <t>K棒型態</t>
        </is>
      </c>
      <c r="AC4" s="15" t="inlineStr">
        <is>
          <t>進場建議</t>
        </is>
      </c>
      <c r="AD4" s="15" t="inlineStr">
        <is>
          <t>11指標綜合分數</t>
        </is>
      </c>
      <c r="AE4" s="15" t="inlineStr">
        <is>
          <t>11指標綜合判定</t>
        </is>
      </c>
      <c r="AF4" s="15" t="inlineStr">
        <is>
          <t>更新時間</t>
        </is>
      </c>
      <c r="AG4" s="15" t="inlineStr">
        <is>
          <t>今日漲跌%</t>
        </is>
      </c>
      <c r="AH4" s="15" t="inlineStr">
        <is>
          <t>關鍵位測試</t>
        </is>
      </c>
      <c r="AI4" s="15" t="inlineStr">
        <is>
          <t>突破判斷</t>
        </is>
      </c>
    </row>
    <row r="5" ht="20.1" customHeight="1">
      <c r="A5" t="inlineStr">
        <is>
          <t>EURUSD</t>
        </is>
      </c>
      <c r="B5" s="16" t="n">
        <v>1.15972</v>
      </c>
      <c r="C5" s="16" t="n">
        <v>1.15663</v>
      </c>
      <c r="D5" s="16" t="n">
        <v>1.16412</v>
      </c>
      <c r="E5" s="16" t="n">
        <v>1.15692</v>
      </c>
      <c r="F5" s="16" t="n">
        <v>1.16175</v>
      </c>
      <c r="G5" s="16" t="n">
        <v>1.159396666666667</v>
      </c>
      <c r="H5" s="16" t="n">
        <v>1.15950619047619</v>
      </c>
      <c r="I5" s="16" t="n">
        <v>1.159491393857723</v>
      </c>
      <c r="J5" s="17" t="n">
        <v>-0.002012500503119159</v>
      </c>
      <c r="K5" s="17" t="n">
        <v>4.106840268856943e-05</v>
      </c>
      <c r="L5" s="17" t="n">
        <v>0.001006368014849041</v>
      </c>
      <c r="M5" t="inlineStr">
        <is>
          <t>震盪糾結</t>
        </is>
      </c>
      <c r="N5" t="inlineStr">
        <is>
          <t>震盪糾結</t>
        </is>
      </c>
      <c r="O5" t="n">
        <v>0</v>
      </c>
      <c r="P5" t="inlineStr">
        <is>
          <t>多空不明</t>
        </is>
      </c>
      <c r="Q5" s="16" t="n">
        <v>0.0002335714285714361</v>
      </c>
      <c r="R5" t="n">
        <v>188</v>
      </c>
      <c r="S5" t="n">
        <v>113.3</v>
      </c>
      <c r="T5" t="inlineStr">
        <is>
          <t>放量</t>
        </is>
      </c>
      <c r="U5" t="inlineStr">
        <is>
          <t>震盪</t>
        </is>
      </c>
      <c r="V5" t="n">
        <v>2</v>
      </c>
      <c r="W5" t="n">
        <v>9</v>
      </c>
      <c r="X5" t="inlineStr">
        <is>
          <t>偏空</t>
        </is>
      </c>
      <c r="Y5" t="n">
        <v>3</v>
      </c>
      <c r="Z5" t="n">
        <v>8</v>
      </c>
      <c r="AA5" t="inlineStr">
        <is>
          <t>偏空</t>
        </is>
      </c>
      <c r="AB5" t="inlineStr">
        <is>
          <t>無明顯型態</t>
        </is>
      </c>
      <c r="AC5" t="inlineStr">
        <is>
          <t>觀望</t>
        </is>
      </c>
      <c r="AD5" s="18" t="n">
        <v>1.14</v>
      </c>
      <c r="AE5" t="inlineStr">
        <is>
          <t>強力多頭</t>
        </is>
      </c>
      <c r="AF5" t="inlineStr">
        <is>
          <t>2026.09.12 19:09:58</t>
        </is>
      </c>
      <c r="AG5" s="18" t="n">
        <v>-0.1093894004254888</v>
      </c>
      <c r="AH5" t="inlineStr">
        <is>
          <t>亞盤低</t>
        </is>
      </c>
      <c r="AI5" t="inlineStr">
        <is>
          <t>確認突破</t>
        </is>
      </c>
    </row>
    <row r="6" ht="20.1" customHeight="1">
      <c r="A6" t="inlineStr">
        <is>
          <t>GBPUSD</t>
        </is>
      </c>
      <c r="B6" s="16" t="n">
        <v>1.35267</v>
      </c>
      <c r="C6" s="16" t="n">
        <v>1.34743</v>
      </c>
      <c r="D6" s="16" t="n">
        <v>1.35653</v>
      </c>
      <c r="E6" s="16" t="n">
        <v>1.34761</v>
      </c>
      <c r="F6" s="16" t="n">
        <v>1.35347</v>
      </c>
      <c r="G6" s="16" t="n">
        <v>1.352488888888889</v>
      </c>
      <c r="H6" s="16" t="n">
        <v>1.35255380952381</v>
      </c>
      <c r="I6" s="16" t="n">
        <v>1.352498821212661</v>
      </c>
      <c r="J6" s="17" t="n">
        <v>-0.006571813491926903</v>
      </c>
      <c r="K6" s="17" t="n">
        <v>-0.0003168599042798628</v>
      </c>
      <c r="L6" s="17" t="n">
        <v>-0.0007053428774039869</v>
      </c>
      <c r="M6" t="inlineStr">
        <is>
          <t>震盪糾結</t>
        </is>
      </c>
      <c r="N6" t="inlineStr">
        <is>
          <t>死亡交叉</t>
        </is>
      </c>
      <c r="O6" t="n">
        <v>-4</v>
      </c>
      <c r="P6" t="inlineStr">
        <is>
          <t>強力空頭</t>
        </is>
      </c>
      <c r="Q6" s="16" t="n">
        <v>0.0003064285714285329</v>
      </c>
      <c r="R6" t="n">
        <v>212</v>
      </c>
      <c r="S6" t="n">
        <v>240.9</v>
      </c>
      <c r="T6" t="inlineStr">
        <is>
          <t>正常</t>
        </is>
      </c>
      <c r="U6" t="inlineStr">
        <is>
          <t>強勢空</t>
        </is>
      </c>
      <c r="V6" t="n">
        <v>5</v>
      </c>
      <c r="W6" t="n">
        <v>6</v>
      </c>
      <c r="X6" t="inlineStr">
        <is>
          <t>多空不明</t>
        </is>
      </c>
      <c r="Y6" t="n">
        <v>2</v>
      </c>
      <c r="Z6" t="n">
        <v>9</v>
      </c>
      <c r="AA6" t="inlineStr">
        <is>
          <t>偏空</t>
        </is>
      </c>
      <c r="AB6" t="inlineStr">
        <is>
          <t>十字星</t>
        </is>
      </c>
      <c r="AC6" t="inlineStr">
        <is>
          <t>觀望</t>
        </is>
      </c>
      <c r="AD6" s="18" t="n">
        <v>0.48</v>
      </c>
      <c r="AE6" t="inlineStr">
        <is>
          <t>偏多</t>
        </is>
      </c>
      <c r="AF6" t="inlineStr">
        <is>
          <t>2026.09.12 19:09:58</t>
        </is>
      </c>
      <c r="AG6" s="18" t="n">
        <v>0.125835510781145</v>
      </c>
      <c r="AH6" t="inlineStr">
        <is>
          <t>歐盤高</t>
        </is>
      </c>
      <c r="AI6" t="inlineStr">
        <is>
          <t>假突破機率高</t>
        </is>
      </c>
    </row>
    <row r="7" ht="20.1" customHeight="1">
      <c r="A7" t="inlineStr">
        <is>
          <t>USDJPY</t>
        </is>
      </c>
      <c r="B7" s="18" t="n">
        <v>153.483</v>
      </c>
      <c r="C7" s="18" t="n">
        <v>155.288</v>
      </c>
      <c r="D7" s="18" t="n">
        <v>160.39</v>
      </c>
      <c r="E7" s="18" t="n">
        <v>153.237</v>
      </c>
      <c r="F7" s="18" t="n">
        <v>154.613</v>
      </c>
      <c r="G7" s="18" t="n">
        <v>153.6733333333333</v>
      </c>
      <c r="H7" s="18" t="n">
        <v>153.6911904761905</v>
      </c>
      <c r="I7" s="18" t="n">
        <v>153.682708334165</v>
      </c>
      <c r="J7" s="17" t="n">
        <v>-0.008458787270179237</v>
      </c>
      <c r="K7" s="17" t="n">
        <v>-0.009727900703527987</v>
      </c>
      <c r="L7" s="17" t="n">
        <v>-0.01204509527813365</v>
      </c>
      <c r="M7" t="inlineStr">
        <is>
          <t>空頭排列</t>
        </is>
      </c>
      <c r="N7" t="inlineStr">
        <is>
          <t>空頭排列</t>
        </is>
      </c>
      <c r="O7" t="n">
        <v>-4</v>
      </c>
      <c r="P7" t="inlineStr">
        <is>
          <t>強力空頭</t>
        </is>
      </c>
      <c r="Q7" s="18" t="n">
        <v>0.04125000000000512</v>
      </c>
      <c r="R7" t="n">
        <v>479</v>
      </c>
      <c r="S7" t="n">
        <v>234.2</v>
      </c>
      <c r="T7" t="inlineStr">
        <is>
          <t>放量</t>
        </is>
      </c>
      <c r="U7" t="inlineStr">
        <is>
          <t>強勢空</t>
        </is>
      </c>
      <c r="V7" t="n">
        <v>11</v>
      </c>
      <c r="W7" t="n">
        <v>0</v>
      </c>
      <c r="X7" t="inlineStr">
        <is>
          <t>強力多頭</t>
        </is>
      </c>
      <c r="Y7" t="n">
        <v>5</v>
      </c>
      <c r="Z7" t="n">
        <v>6</v>
      </c>
      <c r="AA7" t="inlineStr">
        <is>
          <t>多空不明</t>
        </is>
      </c>
      <c r="AB7" t="inlineStr">
        <is>
          <t>看跌吞噬</t>
        </is>
      </c>
      <c r="AC7" t="inlineStr">
        <is>
          <t>觀望</t>
        </is>
      </c>
      <c r="AD7" s="18" t="n">
        <v>-1.535</v>
      </c>
      <c r="AE7" t="inlineStr">
        <is>
          <t>強力空頭</t>
        </is>
      </c>
      <c r="AF7" t="inlineStr">
        <is>
          <t>2026.09.12 19:09:58</t>
        </is>
      </c>
      <c r="AG7" s="18" t="n">
        <v>-0.5836097004870856</v>
      </c>
      <c r="AI7" t="inlineStr">
        <is>
          <t>無測試關鍵位</t>
        </is>
      </c>
    </row>
    <row r="8" ht="20.1" customHeight="1">
      <c r="A8" t="inlineStr">
        <is>
          <t>USDCAD</t>
        </is>
      </c>
      <c r="B8" s="16" t="n">
        <v>1.3872</v>
      </c>
      <c r="C8" s="16" t="n">
        <v>1.37651</v>
      </c>
      <c r="D8" s="16" t="n">
        <v>1.39397</v>
      </c>
      <c r="E8" s="16" t="n">
        <v>1.38242</v>
      </c>
      <c r="F8" s="16" t="n">
        <v>1.38838</v>
      </c>
      <c r="G8" s="16" t="n">
        <v>1.3868</v>
      </c>
      <c r="H8" s="16" t="n">
        <v>1.386722380952381</v>
      </c>
      <c r="I8" s="16" t="n">
        <v>1.386744737147039</v>
      </c>
      <c r="J8" s="17" t="n">
        <v>0.01682813664443567</v>
      </c>
      <c r="K8" s="17" t="n">
        <v>0.006147108901356199</v>
      </c>
      <c r="L8" s="17" t="n">
        <v>0.00861746926565052</v>
      </c>
      <c r="M8" t="inlineStr">
        <is>
          <t>多頭排列</t>
        </is>
      </c>
      <c r="N8" t="inlineStr">
        <is>
          <t>多頭排列</t>
        </is>
      </c>
      <c r="O8" t="n">
        <v>4</v>
      </c>
      <c r="P8" t="inlineStr">
        <is>
          <t>強力多頭</t>
        </is>
      </c>
      <c r="Q8" s="16" t="n">
        <v>0.0003428571428572003</v>
      </c>
      <c r="R8" t="n">
        <v>165</v>
      </c>
      <c r="S8" t="n">
        <v>165.85</v>
      </c>
      <c r="T8" t="inlineStr">
        <is>
          <t>正常</t>
        </is>
      </c>
      <c r="U8" t="inlineStr">
        <is>
          <t>強勢多</t>
        </is>
      </c>
      <c r="V8" t="n">
        <v>3</v>
      </c>
      <c r="W8" t="n">
        <v>8</v>
      </c>
      <c r="X8" t="inlineStr">
        <is>
          <t>偏空</t>
        </is>
      </c>
      <c r="Y8" t="n">
        <v>10</v>
      </c>
      <c r="Z8" t="n">
        <v>1</v>
      </c>
      <c r="AA8" t="inlineStr">
        <is>
          <t>強力多頭</t>
        </is>
      </c>
      <c r="AB8" t="inlineStr">
        <is>
          <t>無明顯型態</t>
        </is>
      </c>
      <c r="AC8" t="inlineStr">
        <is>
          <t>觀望</t>
        </is>
      </c>
      <c r="AD8" s="18" t="n">
        <v>1.435</v>
      </c>
      <c r="AE8" t="inlineStr">
        <is>
          <t>強力多頭</t>
        </is>
      </c>
      <c r="AF8" t="inlineStr">
        <is>
          <t>2026.09.12 19:09:58</t>
        </is>
      </c>
      <c r="AG8" s="18" t="n">
        <v>0.3051381798724576</v>
      </c>
      <c r="AI8" t="inlineStr">
        <is>
          <t>無測試關鍵位</t>
        </is>
      </c>
    </row>
    <row r="9" ht="20.1" customHeight="1">
      <c r="A9" t="inlineStr">
        <is>
          <t>AUDUSD</t>
        </is>
      </c>
      <c r="B9" s="16" t="n">
        <v>0.71702</v>
      </c>
      <c r="C9" s="16" t="n">
        <v>0.71213</v>
      </c>
      <c r="D9" s="16" t="n">
        <v>0.72144</v>
      </c>
      <c r="E9" s="16" t="n">
        <v>0.71489</v>
      </c>
      <c r="F9" s="16" t="n">
        <v>0.71875</v>
      </c>
      <c r="G9" s="16" t="n">
        <v>0.7169755555555555</v>
      </c>
      <c r="H9" s="16" t="n">
        <v>0.7171552380952381</v>
      </c>
      <c r="I9" s="16" t="n">
        <v>0.7170982448489345</v>
      </c>
      <c r="J9" s="17" t="n">
        <v>-0.01162154665742495</v>
      </c>
      <c r="K9" s="17" t="n">
        <v>-0.005643674337386665</v>
      </c>
      <c r="L9" s="17" t="n">
        <v>-0.005981952836299725</v>
      </c>
      <c r="M9" t="inlineStr">
        <is>
          <t>震盪糾結</t>
        </is>
      </c>
      <c r="N9" t="inlineStr">
        <is>
          <t>震盪糾結</t>
        </is>
      </c>
      <c r="O9" t="n">
        <v>-2</v>
      </c>
      <c r="P9" t="inlineStr">
        <is>
          <t>偏空</t>
        </is>
      </c>
      <c r="Q9" s="16" t="n">
        <v>0.0001907142857143099</v>
      </c>
      <c r="R9" t="n">
        <v>107</v>
      </c>
      <c r="S9" t="n">
        <v>128.3</v>
      </c>
      <c r="T9" t="inlineStr">
        <is>
          <t>正常</t>
        </is>
      </c>
      <c r="U9" t="inlineStr">
        <is>
          <t>偏空</t>
        </is>
      </c>
      <c r="V9" t="n">
        <v>3</v>
      </c>
      <c r="W9" t="n">
        <v>8</v>
      </c>
      <c r="X9" t="inlineStr">
        <is>
          <t>偏空</t>
        </is>
      </c>
      <c r="Y9" t="n">
        <v>10</v>
      </c>
      <c r="Z9" t="n">
        <v>1</v>
      </c>
      <c r="AA9" t="inlineStr">
        <is>
          <t>偏多</t>
        </is>
      </c>
      <c r="AB9" t="inlineStr">
        <is>
          <t>十字星</t>
        </is>
      </c>
      <c r="AC9" t="inlineStr">
        <is>
          <t>觀望</t>
        </is>
      </c>
      <c r="AD9" s="18" t="n">
        <v>-0.8600000000000001</v>
      </c>
      <c r="AE9" t="inlineStr">
        <is>
          <t>偏空</t>
        </is>
      </c>
      <c r="AF9" t="inlineStr">
        <is>
          <t>2026.09.12 19:09:58</t>
        </is>
      </c>
      <c r="AG9" s="18" t="n">
        <v>0.1872345182204348</v>
      </c>
      <c r="AI9" t="inlineStr">
        <is>
          <t>無測試關鍵位</t>
        </is>
      </c>
    </row>
    <row r="10" ht="20.1" customHeight="1">
      <c r="A10" t="inlineStr">
        <is>
          <t>NZDUSD</t>
        </is>
      </c>
      <c r="B10" s="16" t="n">
        <v>0.58127</v>
      </c>
      <c r="C10" s="16" t="n">
        <v>0.5802</v>
      </c>
      <c r="D10" s="16" t="n">
        <v>0.59288</v>
      </c>
      <c r="E10" s="16" t="n">
        <v>0.57922</v>
      </c>
      <c r="F10" s="16" t="n">
        <v>0.5835</v>
      </c>
      <c r="G10" s="16" t="n">
        <v>0.5812122222222222</v>
      </c>
      <c r="H10" s="16" t="n">
        <v>0.5813095238095238</v>
      </c>
      <c r="I10" s="16" t="n">
        <v>0.581287344504309</v>
      </c>
      <c r="J10" s="17" t="n">
        <v>-0.007646268334329681</v>
      </c>
      <c r="K10" s="17" t="n">
        <v>-0.002703183121006458</v>
      </c>
      <c r="L10" s="17" t="n">
        <v>-0.004600100288579278</v>
      </c>
      <c r="M10" t="inlineStr">
        <is>
          <t>震盪糾結</t>
        </is>
      </c>
      <c r="N10" t="inlineStr">
        <is>
          <t>震盪糾結</t>
        </is>
      </c>
      <c r="O10" t="n">
        <v>-2</v>
      </c>
      <c r="P10" t="inlineStr">
        <is>
          <t>偏空</t>
        </is>
      </c>
      <c r="Q10" s="16" t="n">
        <v>0.0001639285714285748</v>
      </c>
      <c r="R10" t="n">
        <v>100</v>
      </c>
      <c r="S10" t="n">
        <v>94.25</v>
      </c>
      <c r="T10" t="inlineStr">
        <is>
          <t>正常</t>
        </is>
      </c>
      <c r="U10" t="inlineStr">
        <is>
          <t>偏空</t>
        </is>
      </c>
      <c r="V10" t="n">
        <v>5</v>
      </c>
      <c r="W10" t="n">
        <v>6</v>
      </c>
      <c r="X10" t="inlineStr">
        <is>
          <t>多空不明</t>
        </is>
      </c>
      <c r="Y10" t="n">
        <v>3</v>
      </c>
      <c r="Z10" t="n">
        <v>8</v>
      </c>
      <c r="AA10" t="inlineStr">
        <is>
          <t>偏空</t>
        </is>
      </c>
      <c r="AB10" t="inlineStr">
        <is>
          <t>無明顯型態</t>
        </is>
      </c>
      <c r="AC10" t="inlineStr">
        <is>
          <t>觀望</t>
        </is>
      </c>
      <c r="AD10" s="18" t="n">
        <v>-0.595</v>
      </c>
      <c r="AE10" t="inlineStr">
        <is>
          <t>偏空</t>
        </is>
      </c>
      <c r="AF10" t="inlineStr">
        <is>
          <t>2026.09.12 19:09:58</t>
        </is>
      </c>
      <c r="AG10" s="18" t="n">
        <v>0.2310623695963319</v>
      </c>
      <c r="AI10" t="inlineStr">
        <is>
          <t>無測試關鍵位</t>
        </is>
      </c>
    </row>
    <row r="11" ht="20.1" customHeight="1">
      <c r="A11" t="inlineStr">
        <is>
          <t>USDCHF</t>
        </is>
      </c>
      <c r="B11" s="16" t="n">
        <v>0.8164400000000001</v>
      </c>
      <c r="C11" s="16" t="n">
        <v>0.80522</v>
      </c>
      <c r="D11" s="16" t="n">
        <v>0.81565</v>
      </c>
      <c r="E11" s="16" t="n">
        <v>0.81242</v>
      </c>
      <c r="F11" s="16" t="n">
        <v>0.81704</v>
      </c>
      <c r="G11" s="16" t="n">
        <v>0.8166433333333334</v>
      </c>
      <c r="H11" s="16" t="n">
        <v>0.8166428571428571</v>
      </c>
      <c r="I11" s="16" t="n">
        <v>0.8166186321759227</v>
      </c>
      <c r="J11" s="17" t="n">
        <v>0.0005442361985137188</v>
      </c>
      <c r="K11" s="17" t="n">
        <v>-0.001282819777833729</v>
      </c>
      <c r="L11" s="17" t="n">
        <v>-0.0008482774204883108</v>
      </c>
      <c r="M11" t="inlineStr">
        <is>
          <t>震盪糾結</t>
        </is>
      </c>
      <c r="N11" t="inlineStr">
        <is>
          <t>震盪糾結</t>
        </is>
      </c>
      <c r="O11" t="n">
        <v>0</v>
      </c>
      <c r="P11" t="inlineStr">
        <is>
          <t>多空不明</t>
        </is>
      </c>
      <c r="Q11" s="16" t="n">
        <v>0.0002357142857142597</v>
      </c>
      <c r="R11" t="n">
        <v>450</v>
      </c>
      <c r="S11" t="n">
        <v>124.3</v>
      </c>
      <c r="T11" t="inlineStr">
        <is>
          <t>放量</t>
        </is>
      </c>
      <c r="U11" t="inlineStr">
        <is>
          <t>震盪</t>
        </is>
      </c>
      <c r="V11" t="n">
        <v>5</v>
      </c>
      <c r="W11" t="n">
        <v>6</v>
      </c>
      <c r="X11" t="inlineStr">
        <is>
          <t>多空不明</t>
        </is>
      </c>
      <c r="Y11" t="n">
        <v>9</v>
      </c>
      <c r="Z11" t="n">
        <v>2</v>
      </c>
      <c r="AA11" t="inlineStr">
        <is>
          <t>偏多</t>
        </is>
      </c>
      <c r="AB11" t="inlineStr">
        <is>
          <t>無明顯型態</t>
        </is>
      </c>
      <c r="AC11" t="inlineStr">
        <is>
          <t>觀望</t>
        </is>
      </c>
      <c r="AD11" s="18" t="n">
        <v>-1.24</v>
      </c>
      <c r="AE11" t="inlineStr">
        <is>
          <t>強力空頭</t>
        </is>
      </c>
      <c r="AF11" t="inlineStr">
        <is>
          <t>2026.09.12 19:09:58</t>
        </is>
      </c>
      <c r="AG11" s="18" t="n">
        <v>0.4663754383806155</v>
      </c>
      <c r="AI11" t="inlineStr">
        <is>
          <t>無測試關鍵位</t>
        </is>
      </c>
    </row>
    <row r="12" ht="20.1" customHeight="1">
      <c r="A12" t="inlineStr">
        <is>
          <t>XAUUSD</t>
        </is>
      </c>
      <c r="B12" s="18" t="n">
        <v>4347.45</v>
      </c>
      <c r="C12" s="18" t="n">
        <v>4282.4</v>
      </c>
      <c r="D12" s="18" t="n">
        <v>4510.65</v>
      </c>
      <c r="E12" s="18" t="n">
        <v>4288.16</v>
      </c>
      <c r="F12" s="18" t="n">
        <v>4402.32</v>
      </c>
      <c r="G12" s="18" t="n">
        <v>4348.38</v>
      </c>
      <c r="H12" s="18" t="n">
        <v>4347.981904761905</v>
      </c>
      <c r="I12" s="18" t="n">
        <v>4348.540804927511</v>
      </c>
      <c r="J12" s="17" t="n">
        <v>0.0002299712306040718</v>
      </c>
      <c r="K12" s="17" t="n">
        <v>0.003176177529460578</v>
      </c>
      <c r="L12" s="17" t="n">
        <v>-0.008545962566718796</v>
      </c>
      <c r="M12" t="inlineStr">
        <is>
          <t>空頭排列</t>
        </is>
      </c>
      <c r="N12" t="inlineStr">
        <is>
          <t>空頭排列</t>
        </is>
      </c>
      <c r="O12" t="n">
        <v>-2</v>
      </c>
      <c r="P12" t="inlineStr">
        <is>
          <t>偏空</t>
        </is>
      </c>
      <c r="Q12" s="18" t="n">
        <v>3.78964285714265</v>
      </c>
      <c r="R12" t="n">
        <v>316</v>
      </c>
      <c r="S12" t="n">
        <v>627.05</v>
      </c>
      <c r="T12" t="inlineStr">
        <is>
          <t>縮量</t>
        </is>
      </c>
      <c r="U12" t="inlineStr">
        <is>
          <t>偏空</t>
        </is>
      </c>
      <c r="V12" t="n">
        <v>5</v>
      </c>
      <c r="W12" t="n">
        <v>6</v>
      </c>
      <c r="X12" t="inlineStr">
        <is>
          <t>多空不明</t>
        </is>
      </c>
      <c r="Y12" t="n">
        <v>1</v>
      </c>
      <c r="Z12" t="n">
        <v>10</v>
      </c>
      <c r="AA12" t="inlineStr">
        <is>
          <t>強力空頭</t>
        </is>
      </c>
      <c r="AB12" t="inlineStr">
        <is>
          <t>無明顯型態</t>
        </is>
      </c>
      <c r="AC12" t="inlineStr">
        <is>
          <t>觀望</t>
        </is>
      </c>
      <c r="AD12" s="18" t="n">
        <v>-0.335</v>
      </c>
      <c r="AE12" t="inlineStr">
        <is>
          <t>偏空</t>
        </is>
      </c>
      <c r="AF12" t="inlineStr">
        <is>
          <t>2026.09.12 19:09:58</t>
        </is>
      </c>
      <c r="AG12" s="18" t="n">
        <v>0.5900114531635027</v>
      </c>
      <c r="AI12" t="inlineStr">
        <is>
          <t>無測試關鍵位</t>
        </is>
      </c>
    </row>
    <row r="13">
      <c r="A13" t="inlineStr">
        <is>
          <t>US500.cash</t>
        </is>
      </c>
      <c r="B13" s="18" t="n">
        <v>7655.15</v>
      </c>
      <c r="C13" s="18" t="n">
        <v>7608.85</v>
      </c>
      <c r="D13" s="18" t="n">
        <v>7756.25</v>
      </c>
      <c r="E13" s="18" t="n">
        <v>7586.15</v>
      </c>
      <c r="F13" s="18" t="n">
        <v>7678.35</v>
      </c>
      <c r="G13" s="18" t="n">
        <v>7656.072222222221</v>
      </c>
      <c r="H13" s="18" t="n">
        <v>7658.627619047618</v>
      </c>
      <c r="I13" s="18" t="n">
        <v>7658.593141247151</v>
      </c>
      <c r="J13" s="17" t="n">
        <v>-0.001349672987310151</v>
      </c>
      <c r="K13" s="17" t="n">
        <v>-0.0139878677317276</v>
      </c>
      <c r="L13" s="17" t="n">
        <v>-0.01165456498869557</v>
      </c>
      <c r="M13" t="inlineStr">
        <is>
          <t>空頭排列</t>
        </is>
      </c>
      <c r="N13" t="inlineStr">
        <is>
          <t>空頭排列</t>
        </is>
      </c>
      <c r="O13" t="n">
        <v>-4</v>
      </c>
      <c r="P13" t="inlineStr">
        <is>
          <t>強力空頭</t>
        </is>
      </c>
      <c r="Q13" s="18" t="n">
        <v>3.385714285714325</v>
      </c>
      <c r="R13" t="n">
        <v>46</v>
      </c>
      <c r="S13" t="n">
        <v>118.45</v>
      </c>
      <c r="T13" t="inlineStr">
        <is>
          <t>縮量</t>
        </is>
      </c>
      <c r="U13" t="inlineStr">
        <is>
          <t>強勢空</t>
        </is>
      </c>
      <c r="V13" t="n">
        <v>10</v>
      </c>
      <c r="W13" t="n">
        <v>1</v>
      </c>
      <c r="X13" t="inlineStr">
        <is>
          <t>強力多頭</t>
        </is>
      </c>
      <c r="Y13" t="n">
        <v>11</v>
      </c>
      <c r="Z13" t="n">
        <v>0</v>
      </c>
      <c r="AA13" t="inlineStr">
        <is>
          <t>強力多頭</t>
        </is>
      </c>
      <c r="AB13" t="inlineStr">
        <is>
          <t>昏星(3根反轉)</t>
        </is>
      </c>
      <c r="AC13" t="inlineStr">
        <is>
          <t>觀望</t>
        </is>
      </c>
      <c r="AD13" s="18" t="n">
        <v>-1.1</v>
      </c>
      <c r="AE13" t="inlineStr">
        <is>
          <t>強力空頭</t>
        </is>
      </c>
      <c r="AF13" t="inlineStr">
        <is>
          <t>2026.09.12 19:09:58</t>
        </is>
      </c>
      <c r="AG13" s="18" t="n">
        <v>0.7610568449705318</v>
      </c>
      <c r="AI13" t="inlineStr">
        <is>
          <t>無測試關鍵位</t>
        </is>
      </c>
    </row>
    <row r="14">
      <c r="A14" t="inlineStr">
        <is>
          <t>US30.cash</t>
        </is>
      </c>
      <c r="B14" s="18" t="n">
        <v>52548.13</v>
      </c>
      <c r="C14" s="18" t="n">
        <v>52661.36</v>
      </c>
      <c r="D14" s="18" t="n">
        <v>53757.95</v>
      </c>
      <c r="E14" s="18" t="n">
        <v>51957.75</v>
      </c>
      <c r="F14" s="18" t="n">
        <v>52708.85</v>
      </c>
      <c r="G14" s="18" t="n">
        <v>52559.78999999999</v>
      </c>
      <c r="H14" s="18" t="n">
        <v>52565.56714285714</v>
      </c>
      <c r="I14" s="18" t="n">
        <v>52567.42346583786</v>
      </c>
      <c r="J14" s="17" t="n">
        <v>-0.006713596027596262</v>
      </c>
      <c r="K14" s="17" t="n">
        <v>-0.006310087996380597</v>
      </c>
      <c r="L14" s="17" t="n">
        <v>-0.008476275198798202</v>
      </c>
      <c r="M14" t="inlineStr">
        <is>
          <t>空頭排列</t>
        </is>
      </c>
      <c r="N14" t="inlineStr">
        <is>
          <t>空頭排列</t>
        </is>
      </c>
      <c r="O14" t="n">
        <v>-4</v>
      </c>
      <c r="P14" t="inlineStr">
        <is>
          <t>強力空頭</t>
        </is>
      </c>
      <c r="Q14" s="18" t="n">
        <v>24.06428571428634</v>
      </c>
      <c r="R14" t="n">
        <v>154</v>
      </c>
      <c r="S14" t="n">
        <v>381.4</v>
      </c>
      <c r="T14" t="inlineStr">
        <is>
          <t>縮量</t>
        </is>
      </c>
      <c r="U14" t="inlineStr">
        <is>
          <t>強勢空</t>
        </is>
      </c>
      <c r="V14" t="n">
        <v>9</v>
      </c>
      <c r="W14" t="n">
        <v>2</v>
      </c>
      <c r="X14" t="inlineStr">
        <is>
          <t>偏多</t>
        </is>
      </c>
      <c r="Y14" t="n">
        <v>3</v>
      </c>
      <c r="Z14" t="n">
        <v>8</v>
      </c>
      <c r="AA14" t="inlineStr">
        <is>
          <t>偏空</t>
        </is>
      </c>
      <c r="AB14" t="inlineStr">
        <is>
          <t>看漲針線</t>
        </is>
      </c>
      <c r="AC14" t="inlineStr">
        <is>
          <t>觀望</t>
        </is>
      </c>
      <c r="AD14" s="18" t="n">
        <v>-1.535</v>
      </c>
      <c r="AE14" t="inlineStr">
        <is>
          <t>強力空頭</t>
        </is>
      </c>
      <c r="AF14" t="inlineStr">
        <is>
          <t>2026.09.12 19:09:58</t>
        </is>
      </c>
      <c r="AG14" s="18" t="n">
        <v>0.9561880660736081</v>
      </c>
      <c r="AI14" t="inlineStr">
        <is>
          <t>無測試關鍵位</t>
        </is>
      </c>
    </row>
    <row r="15">
      <c r="A15" t="inlineStr">
        <is>
          <t>US100.cash</t>
        </is>
      </c>
      <c r="B15" s="18" t="n">
        <v>29363.44</v>
      </c>
      <c r="C15" s="18" t="n">
        <v>28878.53</v>
      </c>
      <c r="D15" s="18" t="n">
        <v>29648.28</v>
      </c>
      <c r="E15" s="18" t="n">
        <v>29016.53</v>
      </c>
      <c r="F15" s="18" t="n">
        <v>29475.13</v>
      </c>
      <c r="G15" s="18" t="n">
        <v>29362.46222222222</v>
      </c>
      <c r="H15" s="18" t="n">
        <v>29376.63476190476</v>
      </c>
      <c r="I15" s="18" t="n">
        <v>29376.38368312597</v>
      </c>
      <c r="J15" s="17" t="n">
        <v>-0.002830442422354375</v>
      </c>
      <c r="K15" s="17" t="n">
        <v>-0.01804963755671772</v>
      </c>
      <c r="L15" s="17" t="n">
        <v>-0.01153636928992683</v>
      </c>
      <c r="M15" t="inlineStr">
        <is>
          <t>震盪糾結</t>
        </is>
      </c>
      <c r="N15" t="inlineStr">
        <is>
          <t>震盪糾結</t>
        </is>
      </c>
      <c r="O15" t="n">
        <v>-2</v>
      </c>
      <c r="P15" t="inlineStr">
        <is>
          <t>偏空</t>
        </is>
      </c>
      <c r="Q15" s="18" t="n">
        <v>17.77714285714306</v>
      </c>
      <c r="R15" t="n">
        <v>444</v>
      </c>
      <c r="S15" t="n">
        <v>1059.7</v>
      </c>
      <c r="T15" t="inlineStr">
        <is>
          <t>縮量</t>
        </is>
      </c>
      <c r="U15" t="inlineStr">
        <is>
          <t>偏空</t>
        </is>
      </c>
      <c r="V15" t="n">
        <v>10</v>
      </c>
      <c r="W15" t="n">
        <v>1</v>
      </c>
      <c r="X15" t="inlineStr">
        <is>
          <t>強力多頭</t>
        </is>
      </c>
      <c r="Y15" t="n">
        <v>11</v>
      </c>
      <c r="Z15" t="n">
        <v>0</v>
      </c>
      <c r="AA15" t="inlineStr">
        <is>
          <t>強力多頭</t>
        </is>
      </c>
      <c r="AB15" t="inlineStr">
        <is>
          <t>無明顯型態</t>
        </is>
      </c>
      <c r="AC15" t="inlineStr">
        <is>
          <t>觀望</t>
        </is>
      </c>
      <c r="AD15" s="18" t="n">
        <v>-0.8475</v>
      </c>
      <c r="AE15" t="inlineStr">
        <is>
          <t>偏空</t>
        </is>
      </c>
      <c r="AF15" t="inlineStr">
        <is>
          <t>2026.09.12 19:09:58</t>
        </is>
      </c>
      <c r="AG15" s="18" t="n">
        <v>0.8233860877280424</v>
      </c>
      <c r="AI15" t="inlineStr">
        <is>
          <t>無測試關鍵位</t>
        </is>
      </c>
    </row>
    <row r="16">
      <c r="A16" t="inlineStr">
        <is>
          <t>JP225.cash</t>
        </is>
      </c>
      <c r="B16" s="18" t="n">
        <v>64695.5</v>
      </c>
      <c r="C16" s="18" t="n">
        <v>63692</v>
      </c>
      <c r="D16" s="18" t="n">
        <v>66534</v>
      </c>
      <c r="E16" s="18" t="n">
        <v>63059</v>
      </c>
      <c r="F16" s="18" t="n">
        <v>64926</v>
      </c>
      <c r="G16" s="18" t="n">
        <v>64705.27777777778</v>
      </c>
      <c r="H16" s="18" t="n">
        <v>64716</v>
      </c>
      <c r="I16" s="18" t="n">
        <v>64716.8376840564</v>
      </c>
      <c r="J16" s="17" t="n">
        <v>-0.0172547592231372</v>
      </c>
      <c r="K16" s="17" t="n">
        <v>-0.0007358102669083516</v>
      </c>
      <c r="L16" s="17" t="n">
        <v>-0.008517572961598295</v>
      </c>
      <c r="M16" t="inlineStr">
        <is>
          <t>空頭排列</t>
        </is>
      </c>
      <c r="N16" t="inlineStr">
        <is>
          <t>空頭排列</t>
        </is>
      </c>
      <c r="O16" t="n">
        <v>-4</v>
      </c>
      <c r="P16" t="inlineStr">
        <is>
          <t>強力空頭</t>
        </is>
      </c>
      <c r="Q16" s="18" t="n">
        <v>49.125</v>
      </c>
      <c r="R16" t="n">
        <v>29</v>
      </c>
      <c r="S16" t="n">
        <v>106.85</v>
      </c>
      <c r="T16" t="inlineStr">
        <is>
          <t>縮量</t>
        </is>
      </c>
      <c r="U16" t="inlineStr">
        <is>
          <t>強勢空</t>
        </is>
      </c>
      <c r="V16" t="n">
        <v>10</v>
      </c>
      <c r="W16" t="n">
        <v>1</v>
      </c>
      <c r="X16" t="inlineStr">
        <is>
          <t>強力多頭</t>
        </is>
      </c>
      <c r="Y16" t="n">
        <v>10</v>
      </c>
      <c r="Z16" t="n">
        <v>1</v>
      </c>
      <c r="AA16" t="inlineStr">
        <is>
          <t>強力多頭</t>
        </is>
      </c>
      <c r="AB16" t="inlineStr">
        <is>
          <t>看跌吞噬</t>
        </is>
      </c>
      <c r="AC16" t="inlineStr">
        <is>
          <t>觀望</t>
        </is>
      </c>
      <c r="AD16" s="18" t="n">
        <v>-1.2825</v>
      </c>
      <c r="AE16" t="inlineStr">
        <is>
          <t>強力空頭</t>
        </is>
      </c>
      <c r="AF16" t="inlineStr">
        <is>
          <t>2026.09.12 19:09:58</t>
        </is>
      </c>
      <c r="AG16" s="18" t="n">
        <v>0.9897685721707125</v>
      </c>
      <c r="AI16" t="inlineStr">
        <is>
          <t>無測試關鍵位</t>
        </is>
      </c>
    </row>
  </sheetData>
  <mergeCells count="3">
    <mergeCell ref="A1:AE1"/>
    <mergeCell ref="A3:AE3"/>
    <mergeCell ref="A2:AE2"/>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M13"/>
  <sheetViews>
    <sheetView workbookViewId="0">
      <pane ySplit="1" topLeftCell="A2" activePane="bottomLeft" state="frozen"/>
      <selection pane="bottomLeft" activeCell="A1" sqref="A1"/>
    </sheetView>
  </sheetViews>
  <sheetFormatPr baseColWidth="8" defaultRowHeight="15"/>
  <cols>
    <col width="14.7109375" customWidth="1" min="1" max="1"/>
    <col width="19.5703125" customWidth="1" min="37" max="37"/>
  </cols>
  <sheetData>
    <row r="1" ht="35.1" customHeight="1">
      <c r="A1" s="15" t="inlineStr">
        <is>
          <t>Symbol</t>
        </is>
      </c>
      <c r="B1" s="15" t="inlineStr">
        <is>
          <t>即時 Bid</t>
        </is>
      </c>
      <c r="C1" s="15" t="inlineStr">
        <is>
          <t>今日漲跌%</t>
        </is>
      </c>
      <c r="D1" s="15" t="inlineStr">
        <is>
          <t>亞盤低</t>
        </is>
      </c>
      <c r="E1" s="15" t="inlineStr">
        <is>
          <t>亞盤高</t>
        </is>
      </c>
      <c r="F1" s="15" t="inlineStr">
        <is>
          <t>歐盤低</t>
        </is>
      </c>
      <c r="G1" s="15" t="inlineStr">
        <is>
          <t>歐盤高</t>
        </is>
      </c>
      <c r="H1" s="15" t="inlineStr">
        <is>
          <t>美盤低</t>
        </is>
      </c>
      <c r="I1" s="15" t="inlineStr">
        <is>
          <t>美盤高</t>
        </is>
      </c>
      <c r="J1" s="15" t="inlineStr">
        <is>
          <t>週支撐</t>
        </is>
      </c>
      <c r="K1" s="15" t="inlineStr">
        <is>
          <t>週壓力</t>
        </is>
      </c>
      <c r="L1" s="15" t="inlineStr">
        <is>
          <t>近支撐</t>
        </is>
      </c>
      <c r="M1" s="15" t="inlineStr">
        <is>
          <t>近壓力</t>
        </is>
      </c>
      <c r="N1" s="15" t="inlineStr">
        <is>
          <t>支撐觸碰</t>
        </is>
      </c>
      <c r="O1" s="15" t="inlineStr">
        <is>
          <t>壓力觸碰</t>
        </is>
      </c>
      <c r="P1" s="15" t="inlineStr">
        <is>
          <t>支撐有效</t>
        </is>
      </c>
      <c r="Q1" s="15" t="inlineStr">
        <is>
          <t>壓力有效</t>
        </is>
      </c>
      <c r="R1" s="15" t="inlineStr">
        <is>
          <t>短MA</t>
        </is>
      </c>
      <c r="S1" s="15" t="inlineStr">
        <is>
          <t>長MA</t>
        </is>
      </c>
      <c r="T1" s="15" t="inlineStr">
        <is>
          <t>EMA</t>
        </is>
      </c>
      <c r="U1" s="15" t="inlineStr">
        <is>
          <t>短MA斜率%</t>
        </is>
      </c>
      <c r="V1" s="15" t="inlineStr">
        <is>
          <t>長MA斜率%</t>
        </is>
      </c>
      <c r="W1" s="15" t="inlineStr">
        <is>
          <t>EMA斜率%</t>
        </is>
      </c>
      <c r="X1" s="15" t="inlineStr">
        <is>
          <t>均線排列</t>
        </is>
      </c>
      <c r="Y1" s="15" t="inlineStr">
        <is>
          <t>交叉狀態</t>
        </is>
      </c>
      <c r="Z1" s="15" t="inlineStr">
        <is>
          <t>趨勢分數</t>
        </is>
      </c>
      <c r="AA1" s="15" t="inlineStr">
        <is>
          <t>趨勢判定</t>
        </is>
      </c>
      <c r="AB1" s="15" t="inlineStr">
        <is>
          <t>個人化SL(ATR)</t>
        </is>
      </c>
      <c r="AC1" s="15" t="inlineStr">
        <is>
          <t>目前量</t>
        </is>
      </c>
      <c r="AD1" s="15" t="inlineStr">
        <is>
          <t>平均量</t>
        </is>
      </c>
      <c r="AE1" s="15" t="inlineStr">
        <is>
          <t>量能狀態</t>
        </is>
      </c>
      <c r="AF1" s="15" t="inlineStr">
        <is>
          <t>最終訊號</t>
        </is>
      </c>
      <c r="AG1" t="inlineStr">
        <is>
          <t>K棒型態</t>
        </is>
      </c>
      <c r="AH1" t="inlineStr">
        <is>
          <t>進場建議</t>
        </is>
      </c>
      <c r="AI1" t="inlineStr">
        <is>
          <t>11指標綜合分數</t>
        </is>
      </c>
      <c r="AJ1" t="inlineStr">
        <is>
          <t>11指標綜合判定</t>
        </is>
      </c>
      <c r="AK1" t="inlineStr">
        <is>
          <t>更新時間</t>
        </is>
      </c>
      <c r="AL1" t="inlineStr">
        <is>
          <t>關鍵位測試</t>
        </is>
      </c>
      <c r="AM1" t="inlineStr">
        <is>
          <t>突破判斷</t>
        </is>
      </c>
    </row>
    <row r="2">
      <c r="A2" t="inlineStr">
        <is>
          <t>EURUSD</t>
        </is>
      </c>
      <c r="B2" t="n">
        <v>1.15972</v>
      </c>
      <c r="C2" t="n">
        <v>-0.1093894004254888</v>
      </c>
      <c r="D2" t="n">
        <v>1.15997</v>
      </c>
      <c r="E2" t="n">
        <v>1.16175</v>
      </c>
      <c r="F2" t="n">
        <v>1.15692</v>
      </c>
      <c r="G2" t="n">
        <v>1.16138</v>
      </c>
      <c r="H2" t="n">
        <v>1.15692</v>
      </c>
      <c r="I2" t="n">
        <v>1.16154</v>
      </c>
      <c r="J2" t="n">
        <v>1.15663</v>
      </c>
      <c r="K2" t="n">
        <v>1.16412</v>
      </c>
      <c r="L2" t="n">
        <v>1.15692</v>
      </c>
      <c r="M2" t="n">
        <v>1.16175</v>
      </c>
      <c r="N2" t="n">
        <v>1</v>
      </c>
      <c r="O2" t="n">
        <v>6</v>
      </c>
      <c r="P2" t="inlineStr">
        <is>
          <t>待確認</t>
        </is>
      </c>
      <c r="Q2" t="inlineStr">
        <is>
          <t>有效</t>
        </is>
      </c>
      <c r="R2" t="n">
        <v>1.159396666666667</v>
      </c>
      <c r="S2" t="n">
        <v>1.15950619047619</v>
      </c>
      <c r="T2" t="n">
        <v>1.159491393857723</v>
      </c>
      <c r="U2" t="n">
        <v>-0.002012500503119159</v>
      </c>
      <c r="V2" t="n">
        <v>4.106840268856943e-05</v>
      </c>
      <c r="W2" t="n">
        <v>0.001006368014849041</v>
      </c>
      <c r="X2" t="inlineStr">
        <is>
          <t>震盪糾結</t>
        </is>
      </c>
      <c r="Y2" t="inlineStr">
        <is>
          <t>震盪糾結</t>
        </is>
      </c>
      <c r="Z2" t="n">
        <v>0</v>
      </c>
      <c r="AA2" t="inlineStr">
        <is>
          <t>多空不明</t>
        </is>
      </c>
      <c r="AB2" t="n">
        <v>0.0002335714285714361</v>
      </c>
      <c r="AC2" t="n">
        <v>188</v>
      </c>
      <c r="AD2" t="n">
        <v>113.3</v>
      </c>
      <c r="AE2" t="inlineStr">
        <is>
          <t>放量</t>
        </is>
      </c>
      <c r="AF2" t="inlineStr">
        <is>
          <t>震盪</t>
        </is>
      </c>
      <c r="AG2" t="inlineStr">
        <is>
          <t>無明顯型態</t>
        </is>
      </c>
      <c r="AH2" t="inlineStr">
        <is>
          <t>觀望</t>
        </is>
      </c>
      <c r="AI2" t="n">
        <v>1.14</v>
      </c>
      <c r="AJ2" t="inlineStr">
        <is>
          <t>強力多頭</t>
        </is>
      </c>
      <c r="AK2" t="inlineStr">
        <is>
          <t>2026.09.12 19:09:58</t>
        </is>
      </c>
      <c r="AL2" t="inlineStr">
        <is>
          <t>亞盤低</t>
        </is>
      </c>
      <c r="AM2" t="inlineStr">
        <is>
          <t>確認突破</t>
        </is>
      </c>
    </row>
    <row r="3">
      <c r="A3" t="inlineStr">
        <is>
          <t>GBPUSD</t>
        </is>
      </c>
      <c r="B3" t="n">
        <v>1.35267</v>
      </c>
      <c r="C3" t="n">
        <v>0.125835510781145</v>
      </c>
      <c r="D3" t="n">
        <v>1.3493</v>
      </c>
      <c r="E3" t="n">
        <v>1.35164</v>
      </c>
      <c r="F3" t="n">
        <v>1.34761</v>
      </c>
      <c r="G3" t="n">
        <v>1.3529</v>
      </c>
      <c r="H3" t="n">
        <v>1.34761</v>
      </c>
      <c r="I3" t="n">
        <v>1.35347</v>
      </c>
      <c r="J3" t="n">
        <v>1.34743</v>
      </c>
      <c r="K3" t="n">
        <v>1.35653</v>
      </c>
      <c r="L3" t="n">
        <v>1.34761</v>
      </c>
      <c r="M3" t="n">
        <v>1.35347</v>
      </c>
      <c r="N3" t="n">
        <v>1</v>
      </c>
      <c r="O3" t="n">
        <v>2</v>
      </c>
      <c r="P3" t="inlineStr">
        <is>
          <t>待確認</t>
        </is>
      </c>
      <c r="Q3" t="inlineStr">
        <is>
          <t>有效</t>
        </is>
      </c>
      <c r="R3" t="n">
        <v>1.352488888888889</v>
      </c>
      <c r="S3" t="n">
        <v>1.35255380952381</v>
      </c>
      <c r="T3" t="n">
        <v>1.352498821212661</v>
      </c>
      <c r="U3" t="n">
        <v>-0.006571813491926903</v>
      </c>
      <c r="V3" t="n">
        <v>-0.0003168599042798628</v>
      </c>
      <c r="W3" t="n">
        <v>-0.0007053428774039869</v>
      </c>
      <c r="X3" t="inlineStr">
        <is>
          <t>震盪糾結</t>
        </is>
      </c>
      <c r="Y3" t="inlineStr">
        <is>
          <t>死亡交叉</t>
        </is>
      </c>
      <c r="Z3" t="n">
        <v>-4</v>
      </c>
      <c r="AA3" t="inlineStr">
        <is>
          <t>強力空頭</t>
        </is>
      </c>
      <c r="AB3" t="n">
        <v>0.0003064285714285329</v>
      </c>
      <c r="AC3" t="n">
        <v>212</v>
      </c>
      <c r="AD3" t="n">
        <v>240.9</v>
      </c>
      <c r="AE3" t="inlineStr">
        <is>
          <t>正常</t>
        </is>
      </c>
      <c r="AF3" t="inlineStr">
        <is>
          <t>強勢空</t>
        </is>
      </c>
      <c r="AG3" t="inlineStr">
        <is>
          <t>十字星</t>
        </is>
      </c>
      <c r="AH3" t="inlineStr">
        <is>
          <t>觀望</t>
        </is>
      </c>
      <c r="AI3" t="n">
        <v>0.48</v>
      </c>
      <c r="AJ3" t="inlineStr">
        <is>
          <t>偏多</t>
        </is>
      </c>
      <c r="AK3" t="inlineStr">
        <is>
          <t>2026.09.12 19:09:58</t>
        </is>
      </c>
      <c r="AL3" t="inlineStr">
        <is>
          <t>歐盤高</t>
        </is>
      </c>
      <c r="AM3" t="inlineStr">
        <is>
          <t>假突破機率高</t>
        </is>
      </c>
    </row>
    <row r="4">
      <c r="A4" t="inlineStr">
        <is>
          <t>USDJPY</t>
        </is>
      </c>
      <c r="B4" t="n">
        <v>153.483</v>
      </c>
      <c r="C4" t="n">
        <v>-0.5836097004870856</v>
      </c>
      <c r="D4" t="n">
        <v>154.206</v>
      </c>
      <c r="E4" t="n">
        <v>154.613</v>
      </c>
      <c r="F4" t="n">
        <v>153.237</v>
      </c>
      <c r="G4" t="n">
        <v>154.483</v>
      </c>
      <c r="H4" t="n">
        <v>153.237</v>
      </c>
      <c r="I4" t="n">
        <v>154.483</v>
      </c>
      <c r="J4" t="n">
        <v>155.288</v>
      </c>
      <c r="K4" t="n">
        <v>160.39</v>
      </c>
      <c r="L4" t="n">
        <v>153.237</v>
      </c>
      <c r="M4" t="n">
        <v>154.613</v>
      </c>
      <c r="N4" t="n">
        <v>1</v>
      </c>
      <c r="O4" t="n">
        <v>2</v>
      </c>
      <c r="P4" t="inlineStr">
        <is>
          <t>待確認</t>
        </is>
      </c>
      <c r="Q4" t="inlineStr">
        <is>
          <t>有效</t>
        </is>
      </c>
      <c r="R4" t="n">
        <v>153.6733333333333</v>
      </c>
      <c r="S4" t="n">
        <v>153.6911904761905</v>
      </c>
      <c r="T4" t="n">
        <v>153.682708334165</v>
      </c>
      <c r="U4" t="n">
        <v>-0.008458787270179237</v>
      </c>
      <c r="V4" t="n">
        <v>-0.009727900703527987</v>
      </c>
      <c r="W4" t="n">
        <v>-0.01204509527813365</v>
      </c>
      <c r="X4" t="inlineStr">
        <is>
          <t>空頭排列</t>
        </is>
      </c>
      <c r="Y4" t="inlineStr">
        <is>
          <t>空頭排列</t>
        </is>
      </c>
      <c r="Z4" t="n">
        <v>-4</v>
      </c>
      <c r="AA4" t="inlineStr">
        <is>
          <t>強力空頭</t>
        </is>
      </c>
      <c r="AB4" t="n">
        <v>0.04125000000000512</v>
      </c>
      <c r="AC4" t="n">
        <v>479</v>
      </c>
      <c r="AD4" t="n">
        <v>234.2</v>
      </c>
      <c r="AE4" t="inlineStr">
        <is>
          <t>放量</t>
        </is>
      </c>
      <c r="AF4" t="inlineStr">
        <is>
          <t>強勢空</t>
        </is>
      </c>
      <c r="AG4" t="inlineStr">
        <is>
          <t>看跌吞噬</t>
        </is>
      </c>
      <c r="AH4" t="inlineStr">
        <is>
          <t>觀望</t>
        </is>
      </c>
      <c r="AI4" t="n">
        <v>-1.535</v>
      </c>
      <c r="AJ4" t="inlineStr">
        <is>
          <t>強力空頭</t>
        </is>
      </c>
      <c r="AK4" t="inlineStr">
        <is>
          <t>2026.09.12 19:09:58</t>
        </is>
      </c>
      <c r="AM4" t="inlineStr">
        <is>
          <t>無測試關鍵位</t>
        </is>
      </c>
    </row>
    <row r="5">
      <c r="A5" t="inlineStr">
        <is>
          <t>USDCAD</t>
        </is>
      </c>
      <c r="B5" t="n">
        <v>1.3872</v>
      </c>
      <c r="C5" t="n">
        <v>0.3051381798724576</v>
      </c>
      <c r="D5" t="n">
        <v>1.38242</v>
      </c>
      <c r="E5" t="n">
        <v>1.38464</v>
      </c>
      <c r="F5" t="n">
        <v>1.38345</v>
      </c>
      <c r="G5" t="n">
        <v>1.3881</v>
      </c>
      <c r="H5" t="n">
        <v>1.38416</v>
      </c>
      <c r="I5" t="n">
        <v>1.38838</v>
      </c>
      <c r="J5" t="n">
        <v>1.37651</v>
      </c>
      <c r="K5" t="n">
        <v>1.39397</v>
      </c>
      <c r="L5" t="n">
        <v>1.38242</v>
      </c>
      <c r="M5" t="n">
        <v>1.38838</v>
      </c>
      <c r="N5" t="n">
        <v>3</v>
      </c>
      <c r="O5" t="n">
        <v>1</v>
      </c>
      <c r="P5" t="inlineStr">
        <is>
          <t>有效</t>
        </is>
      </c>
      <c r="Q5" t="inlineStr">
        <is>
          <t>待確認</t>
        </is>
      </c>
      <c r="R5" t="n">
        <v>1.3868</v>
      </c>
      <c r="S5" t="n">
        <v>1.386722380952381</v>
      </c>
      <c r="T5" t="n">
        <v>1.386744737147039</v>
      </c>
      <c r="U5" t="n">
        <v>0.01682813664443567</v>
      </c>
      <c r="V5" t="n">
        <v>0.006147108901356199</v>
      </c>
      <c r="W5" t="n">
        <v>0.00861746926565052</v>
      </c>
      <c r="X5" t="inlineStr">
        <is>
          <t>多頭排列</t>
        </is>
      </c>
      <c r="Y5" t="inlineStr">
        <is>
          <t>多頭排列</t>
        </is>
      </c>
      <c r="Z5" t="n">
        <v>4</v>
      </c>
      <c r="AA5" t="inlineStr">
        <is>
          <t>強力多頭</t>
        </is>
      </c>
      <c r="AB5" t="n">
        <v>0.0003428571428572003</v>
      </c>
      <c r="AC5" t="n">
        <v>165</v>
      </c>
      <c r="AD5" t="n">
        <v>165.85</v>
      </c>
      <c r="AE5" t="inlineStr">
        <is>
          <t>正常</t>
        </is>
      </c>
      <c r="AF5" t="inlineStr">
        <is>
          <t>強勢多</t>
        </is>
      </c>
      <c r="AG5" t="inlineStr">
        <is>
          <t>無明顯型態</t>
        </is>
      </c>
      <c r="AH5" t="inlineStr">
        <is>
          <t>觀望</t>
        </is>
      </c>
      <c r="AI5" t="n">
        <v>1.435</v>
      </c>
      <c r="AJ5" t="inlineStr">
        <is>
          <t>強力多頭</t>
        </is>
      </c>
      <c r="AK5" t="inlineStr">
        <is>
          <t>2026.09.12 19:09:58</t>
        </is>
      </c>
      <c r="AM5" t="inlineStr">
        <is>
          <t>無測試關鍵位</t>
        </is>
      </c>
    </row>
    <row r="6">
      <c r="A6" t="inlineStr">
        <is>
          <t>AUDUSD</t>
        </is>
      </c>
      <c r="B6" t="n">
        <v>0.71702</v>
      </c>
      <c r="C6" t="n">
        <v>0.1872345182204348</v>
      </c>
      <c r="D6" t="n">
        <v>0.71502</v>
      </c>
      <c r="E6" t="n">
        <v>0.71663</v>
      </c>
      <c r="F6" t="n">
        <v>0.71489</v>
      </c>
      <c r="G6" t="n">
        <v>0.71875</v>
      </c>
      <c r="H6" t="n">
        <v>0.71489</v>
      </c>
      <c r="I6" t="n">
        <v>0.71875</v>
      </c>
      <c r="J6" t="n">
        <v>0.71213</v>
      </c>
      <c r="K6" t="n">
        <v>0.72144</v>
      </c>
      <c r="L6" t="n">
        <v>0.71489</v>
      </c>
      <c r="M6" t="n">
        <v>0.71875</v>
      </c>
      <c r="N6" t="n">
        <v>1</v>
      </c>
      <c r="O6" t="n">
        <v>1</v>
      </c>
      <c r="P6" t="inlineStr">
        <is>
          <t>待確認</t>
        </is>
      </c>
      <c r="Q6" t="inlineStr">
        <is>
          <t>待確認</t>
        </is>
      </c>
      <c r="R6" t="n">
        <v>0.7169755555555555</v>
      </c>
      <c r="S6" t="n">
        <v>0.7171552380952381</v>
      </c>
      <c r="T6" t="n">
        <v>0.7170982448489345</v>
      </c>
      <c r="U6" t="n">
        <v>-0.01162154665742495</v>
      </c>
      <c r="V6" t="n">
        <v>-0.005643674337386665</v>
      </c>
      <c r="W6" t="n">
        <v>-0.005981952836299725</v>
      </c>
      <c r="X6" t="inlineStr">
        <is>
          <t>震盪糾結</t>
        </is>
      </c>
      <c r="Y6" t="inlineStr">
        <is>
          <t>震盪糾結</t>
        </is>
      </c>
      <c r="Z6" t="n">
        <v>-2</v>
      </c>
      <c r="AA6" t="inlineStr">
        <is>
          <t>偏空</t>
        </is>
      </c>
      <c r="AB6" t="n">
        <v>0.0001907142857143099</v>
      </c>
      <c r="AC6" t="n">
        <v>107</v>
      </c>
      <c r="AD6" t="n">
        <v>128.3</v>
      </c>
      <c r="AE6" t="inlineStr">
        <is>
          <t>正常</t>
        </is>
      </c>
      <c r="AF6" t="inlineStr">
        <is>
          <t>偏空</t>
        </is>
      </c>
      <c r="AG6" t="inlineStr">
        <is>
          <t>十字星</t>
        </is>
      </c>
      <c r="AH6" t="inlineStr">
        <is>
          <t>觀望</t>
        </is>
      </c>
      <c r="AI6" t="n">
        <v>-0.8600000000000001</v>
      </c>
      <c r="AJ6" t="inlineStr">
        <is>
          <t>偏空</t>
        </is>
      </c>
      <c r="AK6" t="inlineStr">
        <is>
          <t>2026.09.12 19:09:58</t>
        </is>
      </c>
      <c r="AM6" t="inlineStr">
        <is>
          <t>無測試關鍵位</t>
        </is>
      </c>
    </row>
    <row r="7">
      <c r="A7" t="inlineStr">
        <is>
          <t>NZDUSD</t>
        </is>
      </c>
      <c r="B7" t="n">
        <v>0.58127</v>
      </c>
      <c r="C7" t="n">
        <v>0.2310623695963319</v>
      </c>
      <c r="D7" t="n">
        <v>0.57922</v>
      </c>
      <c r="E7" t="n">
        <v>0.58292</v>
      </c>
      <c r="F7" t="n">
        <v>0.58009</v>
      </c>
      <c r="G7" t="n">
        <v>0.5835</v>
      </c>
      <c r="H7" t="n">
        <v>0.58009</v>
      </c>
      <c r="I7" t="n">
        <v>0.58291</v>
      </c>
      <c r="J7" t="n">
        <v>0.5802</v>
      </c>
      <c r="K7" t="n">
        <v>0.59288</v>
      </c>
      <c r="L7" t="n">
        <v>0.57922</v>
      </c>
      <c r="M7" t="n">
        <v>0.5835</v>
      </c>
      <c r="N7" t="n">
        <v>6</v>
      </c>
      <c r="O7" t="n">
        <v>3</v>
      </c>
      <c r="P7" t="inlineStr">
        <is>
          <t>有效</t>
        </is>
      </c>
      <c r="Q7" t="inlineStr">
        <is>
          <t>有效</t>
        </is>
      </c>
      <c r="R7" t="n">
        <v>0.5812122222222222</v>
      </c>
      <c r="S7" t="n">
        <v>0.5813095238095238</v>
      </c>
      <c r="T7" t="n">
        <v>0.581287344504309</v>
      </c>
      <c r="U7" t="n">
        <v>-0.007646268334329681</v>
      </c>
      <c r="V7" t="n">
        <v>-0.002703183121006458</v>
      </c>
      <c r="W7" t="n">
        <v>-0.004600100288579278</v>
      </c>
      <c r="X7" t="inlineStr">
        <is>
          <t>震盪糾結</t>
        </is>
      </c>
      <c r="Y7" t="inlineStr">
        <is>
          <t>震盪糾結</t>
        </is>
      </c>
      <c r="Z7" t="n">
        <v>-2</v>
      </c>
      <c r="AA7" t="inlineStr">
        <is>
          <t>偏空</t>
        </is>
      </c>
      <c r="AB7" t="n">
        <v>0.0001639285714285748</v>
      </c>
      <c r="AC7" t="n">
        <v>100</v>
      </c>
      <c r="AD7" t="n">
        <v>94.25</v>
      </c>
      <c r="AE7" t="inlineStr">
        <is>
          <t>正常</t>
        </is>
      </c>
      <c r="AF7" t="inlineStr">
        <is>
          <t>偏空</t>
        </is>
      </c>
      <c r="AG7" t="inlineStr">
        <is>
          <t>無明顯型態</t>
        </is>
      </c>
      <c r="AH7" t="inlineStr">
        <is>
          <t>觀望</t>
        </is>
      </c>
      <c r="AI7" t="n">
        <v>-0.595</v>
      </c>
      <c r="AJ7" t="inlineStr">
        <is>
          <t>偏空</t>
        </is>
      </c>
      <c r="AK7" t="inlineStr">
        <is>
          <t>2026.09.12 19:09:58</t>
        </is>
      </c>
      <c r="AM7" t="inlineStr">
        <is>
          <t>無測試關鍵位</t>
        </is>
      </c>
    </row>
    <row r="8">
      <c r="A8" t="inlineStr">
        <is>
          <t>USDCHF</t>
        </is>
      </c>
      <c r="B8" t="n">
        <v>0.8164400000000001</v>
      </c>
      <c r="C8" t="n">
        <v>0.4663754383806155</v>
      </c>
      <c r="D8" t="n">
        <v>0.81242</v>
      </c>
      <c r="E8" t="n">
        <v>0.8142</v>
      </c>
      <c r="F8" t="n">
        <v>0.8124400000000001</v>
      </c>
      <c r="G8" t="n">
        <v>0.81701</v>
      </c>
      <c r="H8" t="n">
        <v>0.81368</v>
      </c>
      <c r="I8" t="n">
        <v>0.81704</v>
      </c>
      <c r="J8" t="n">
        <v>0.80522</v>
      </c>
      <c r="K8" t="n">
        <v>0.81565</v>
      </c>
      <c r="L8" t="n">
        <v>0.81242</v>
      </c>
      <c r="M8" t="n">
        <v>0.81704</v>
      </c>
      <c r="N8" t="n">
        <v>4</v>
      </c>
      <c r="O8" t="n">
        <v>5</v>
      </c>
      <c r="P8" t="inlineStr">
        <is>
          <t>有效</t>
        </is>
      </c>
      <c r="Q8" t="inlineStr">
        <is>
          <t>有效</t>
        </is>
      </c>
      <c r="R8" t="n">
        <v>0.8166433333333334</v>
      </c>
      <c r="S8" t="n">
        <v>0.8166428571428571</v>
      </c>
      <c r="T8" t="n">
        <v>0.8166186321759227</v>
      </c>
      <c r="U8" t="n">
        <v>0.0005442361985137188</v>
      </c>
      <c r="V8" t="n">
        <v>-0.001282819777833729</v>
      </c>
      <c r="W8" t="n">
        <v>-0.0008482774204883108</v>
      </c>
      <c r="X8" t="inlineStr">
        <is>
          <t>震盪糾結</t>
        </is>
      </c>
      <c r="Y8" t="inlineStr">
        <is>
          <t>震盪糾結</t>
        </is>
      </c>
      <c r="Z8" t="n">
        <v>0</v>
      </c>
      <c r="AA8" t="inlineStr">
        <is>
          <t>多空不明</t>
        </is>
      </c>
      <c r="AB8" t="n">
        <v>0.0002357142857142597</v>
      </c>
      <c r="AC8" t="n">
        <v>450</v>
      </c>
      <c r="AD8" t="n">
        <v>124.3</v>
      </c>
      <c r="AE8" t="inlineStr">
        <is>
          <t>放量</t>
        </is>
      </c>
      <c r="AF8" t="inlineStr">
        <is>
          <t>震盪</t>
        </is>
      </c>
      <c r="AG8" t="inlineStr">
        <is>
          <t>無明顯型態</t>
        </is>
      </c>
      <c r="AH8" t="inlineStr">
        <is>
          <t>觀望</t>
        </is>
      </c>
      <c r="AI8" t="n">
        <v>-1.24</v>
      </c>
      <c r="AJ8" t="inlineStr">
        <is>
          <t>強力空頭</t>
        </is>
      </c>
      <c r="AK8" t="inlineStr">
        <is>
          <t>2026.09.12 19:09:58</t>
        </is>
      </c>
      <c r="AM8" t="inlineStr">
        <is>
          <t>無測試關鍵位</t>
        </is>
      </c>
    </row>
    <row r="9">
      <c r="A9" t="inlineStr">
        <is>
          <t>USDCNH</t>
        </is>
      </c>
      <c r="B9" t="n">
        <v>4347.45</v>
      </c>
      <c r="C9" t="n">
        <v>0.5900114531635027</v>
      </c>
      <c r="D9" t="n">
        <v>4300.69</v>
      </c>
      <c r="E9" t="n">
        <v>4340.19</v>
      </c>
      <c r="F9" t="n">
        <v>4288.16</v>
      </c>
      <c r="G9" t="n">
        <v>4393.25</v>
      </c>
      <c r="H9" t="n">
        <v>4288.16</v>
      </c>
      <c r="I9" t="n">
        <v>4402.32</v>
      </c>
      <c r="J9" t="n">
        <v>4282.4</v>
      </c>
      <c r="K9" t="n">
        <v>4510.65</v>
      </c>
      <c r="L9" t="n">
        <v>4288.16</v>
      </c>
      <c r="M9" t="n">
        <v>4402.32</v>
      </c>
      <c r="N9" t="n">
        <v>1</v>
      </c>
      <c r="O9" t="n">
        <v>2</v>
      </c>
      <c r="P9" t="inlineStr">
        <is>
          <t>待確認</t>
        </is>
      </c>
      <c r="Q9" t="inlineStr">
        <is>
          <t>有效</t>
        </is>
      </c>
      <c r="R9" t="n">
        <v>4348.38</v>
      </c>
      <c r="S9" t="n">
        <v>4347.981904761905</v>
      </c>
      <c r="T9" t="n">
        <v>4348.540804927511</v>
      </c>
      <c r="U9" t="n">
        <v>0.0002299712306040718</v>
      </c>
      <c r="V9" t="n">
        <v>0.003176177529460578</v>
      </c>
      <c r="W9" t="n">
        <v>-0.008545962566718796</v>
      </c>
      <c r="X9" t="inlineStr">
        <is>
          <t>空頭排列</t>
        </is>
      </c>
      <c r="Y9" t="inlineStr">
        <is>
          <t>空頭排列</t>
        </is>
      </c>
      <c r="Z9" t="n">
        <v>-2</v>
      </c>
      <c r="AA9" t="inlineStr">
        <is>
          <t>偏空</t>
        </is>
      </c>
      <c r="AB9" t="n">
        <v>3.78964285714265</v>
      </c>
      <c r="AC9" t="n">
        <v>316</v>
      </c>
      <c r="AD9" t="n">
        <v>627.05</v>
      </c>
      <c r="AE9" t="inlineStr">
        <is>
          <t>縮量</t>
        </is>
      </c>
      <c r="AF9" t="inlineStr">
        <is>
          <t>偏空</t>
        </is>
      </c>
      <c r="AG9" t="inlineStr">
        <is>
          <t>無明顯型態</t>
        </is>
      </c>
      <c r="AH9" t="inlineStr">
        <is>
          <t>觀望</t>
        </is>
      </c>
      <c r="AI9" t="n">
        <v>-0.335</v>
      </c>
      <c r="AJ9" t="inlineStr">
        <is>
          <t>偏空</t>
        </is>
      </c>
      <c r="AK9" t="inlineStr">
        <is>
          <t>2026.09.12 19:09:58</t>
        </is>
      </c>
      <c r="AM9" t="inlineStr">
        <is>
          <t>無測試關鍵位</t>
        </is>
      </c>
    </row>
    <row r="10">
      <c r="A10" t="inlineStr">
        <is>
          <t>US500.cash</t>
        </is>
      </c>
      <c r="B10" t="n">
        <v>7655.15</v>
      </c>
      <c r="C10" t="n">
        <v>0.7610568449705318</v>
      </c>
      <c r="D10" t="n">
        <v>7589.4</v>
      </c>
      <c r="E10" t="n">
        <v>7611.1</v>
      </c>
      <c r="F10" t="n">
        <v>7605.6</v>
      </c>
      <c r="G10" t="n">
        <v>7678.35</v>
      </c>
      <c r="H10" t="n">
        <v>7616.2</v>
      </c>
      <c r="I10" t="n">
        <v>7678.35</v>
      </c>
      <c r="J10" t="n">
        <v>7608.85</v>
      </c>
      <c r="K10" t="n">
        <v>7756.25</v>
      </c>
      <c r="L10" t="n">
        <v>7586.15</v>
      </c>
      <c r="M10" t="n">
        <v>7678.35</v>
      </c>
      <c r="N10" t="n">
        <v>1</v>
      </c>
      <c r="O10" t="n">
        <v>1</v>
      </c>
      <c r="P10" t="inlineStr">
        <is>
          <t>待確認</t>
        </is>
      </c>
      <c r="Q10" t="inlineStr">
        <is>
          <t>待確認</t>
        </is>
      </c>
      <c r="R10" t="n">
        <v>7656.072222222221</v>
      </c>
      <c r="S10" t="n">
        <v>7658.627619047618</v>
      </c>
      <c r="T10" t="n">
        <v>7658.593141247151</v>
      </c>
      <c r="U10" t="n">
        <v>-0.001349672987310151</v>
      </c>
      <c r="V10" t="n">
        <v>-0.0139878677317276</v>
      </c>
      <c r="W10" t="n">
        <v>-0.01165456498869557</v>
      </c>
      <c r="X10" t="inlineStr">
        <is>
          <t>空頭排列</t>
        </is>
      </c>
      <c r="Y10" t="inlineStr">
        <is>
          <t>空頭排列</t>
        </is>
      </c>
      <c r="Z10" t="n">
        <v>-4</v>
      </c>
      <c r="AA10" t="inlineStr">
        <is>
          <t>強力空頭</t>
        </is>
      </c>
      <c r="AB10" t="n">
        <v>3.385714285714325</v>
      </c>
      <c r="AC10" t="n">
        <v>46</v>
      </c>
      <c r="AD10" t="n">
        <v>118.45</v>
      </c>
      <c r="AE10" t="inlineStr">
        <is>
          <t>縮量</t>
        </is>
      </c>
      <c r="AF10" t="inlineStr">
        <is>
          <t>強勢空</t>
        </is>
      </c>
      <c r="AG10" t="inlineStr">
        <is>
          <t>昏星(3根反轉)</t>
        </is>
      </c>
      <c r="AH10" t="inlineStr">
        <is>
          <t>觀望</t>
        </is>
      </c>
      <c r="AI10" t="n">
        <v>-1.1</v>
      </c>
      <c r="AJ10" t="inlineStr">
        <is>
          <t>強力空頭</t>
        </is>
      </c>
      <c r="AK10" t="inlineStr">
        <is>
          <t>2026.09.12 19:09:58</t>
        </is>
      </c>
      <c r="AM10" t="inlineStr">
        <is>
          <t>無測試關鍵位</t>
        </is>
      </c>
    </row>
    <row r="11">
      <c r="A11" t="inlineStr">
        <is>
          <t>US30.cash</t>
        </is>
      </c>
      <c r="B11" t="n">
        <v>52548.13</v>
      </c>
      <c r="C11" t="n">
        <v>0.9561880660736081</v>
      </c>
      <c r="D11" t="n">
        <v>52043.93</v>
      </c>
      <c r="E11" t="n">
        <v>52230.56</v>
      </c>
      <c r="F11" t="n">
        <v>52189.16</v>
      </c>
      <c r="G11" t="n">
        <v>52640.66</v>
      </c>
      <c r="H11" t="n">
        <v>52249.17</v>
      </c>
      <c r="I11" t="n">
        <v>52708.85</v>
      </c>
      <c r="J11" t="n">
        <v>52661.36</v>
      </c>
      <c r="K11" t="n">
        <v>53757.95</v>
      </c>
      <c r="L11" t="n">
        <v>51957.75</v>
      </c>
      <c r="M11" t="n">
        <v>52708.85</v>
      </c>
      <c r="N11" t="n">
        <v>1</v>
      </c>
      <c r="O11" t="n">
        <v>1</v>
      </c>
      <c r="P11" t="inlineStr">
        <is>
          <t>待確認</t>
        </is>
      </c>
      <c r="Q11" t="inlineStr">
        <is>
          <t>待確認</t>
        </is>
      </c>
      <c r="R11" t="n">
        <v>52559.78999999999</v>
      </c>
      <c r="S11" t="n">
        <v>52565.56714285714</v>
      </c>
      <c r="T11" t="n">
        <v>52567.42346583786</v>
      </c>
      <c r="U11" t="n">
        <v>-0.006713596027596262</v>
      </c>
      <c r="V11" t="n">
        <v>-0.006310087996380597</v>
      </c>
      <c r="W11" t="n">
        <v>-0.008476275198798202</v>
      </c>
      <c r="X11" t="inlineStr">
        <is>
          <t>空頭排列</t>
        </is>
      </c>
      <c r="Y11" t="inlineStr">
        <is>
          <t>空頭排列</t>
        </is>
      </c>
      <c r="Z11" t="n">
        <v>-4</v>
      </c>
      <c r="AA11" t="inlineStr">
        <is>
          <t>強力空頭</t>
        </is>
      </c>
      <c r="AB11" t="n">
        <v>24.06428571428634</v>
      </c>
      <c r="AC11" t="n">
        <v>154</v>
      </c>
      <c r="AD11" t="n">
        <v>381.4</v>
      </c>
      <c r="AE11" t="inlineStr">
        <is>
          <t>縮量</t>
        </is>
      </c>
      <c r="AF11" t="inlineStr">
        <is>
          <t>強勢空</t>
        </is>
      </c>
      <c r="AG11" t="inlineStr">
        <is>
          <t>看漲針線</t>
        </is>
      </c>
      <c r="AH11" t="inlineStr">
        <is>
          <t>觀望</t>
        </is>
      </c>
      <c r="AI11" t="n">
        <v>-1.535</v>
      </c>
      <c r="AJ11" t="inlineStr">
        <is>
          <t>強力空頭</t>
        </is>
      </c>
      <c r="AK11" t="inlineStr">
        <is>
          <t>2026.09.12 19:09:58</t>
        </is>
      </c>
      <c r="AM11" t="inlineStr">
        <is>
          <t>無測試關鍵位</t>
        </is>
      </c>
    </row>
    <row r="12">
      <c r="A12" t="inlineStr">
        <is>
          <t>US100.cash</t>
        </is>
      </c>
      <c r="B12" t="n">
        <v>29363.44</v>
      </c>
      <c r="C12" t="n">
        <v>0.8233860877280424</v>
      </c>
      <c r="D12" t="n">
        <v>29016.53</v>
      </c>
      <c r="E12" t="n">
        <v>29146.13</v>
      </c>
      <c r="F12" t="n">
        <v>29095.13</v>
      </c>
      <c r="G12" t="n">
        <v>29475.13</v>
      </c>
      <c r="H12" t="n">
        <v>29186.68</v>
      </c>
      <c r="I12" t="n">
        <v>29475.13</v>
      </c>
      <c r="J12" t="n">
        <v>28878.53</v>
      </c>
      <c r="K12" t="n">
        <v>29648.28</v>
      </c>
      <c r="L12" t="n">
        <v>29016.53</v>
      </c>
      <c r="M12" t="n">
        <v>29475.13</v>
      </c>
      <c r="N12" t="n">
        <v>1</v>
      </c>
      <c r="O12" t="n">
        <v>1</v>
      </c>
      <c r="P12" t="inlineStr">
        <is>
          <t>待確認</t>
        </is>
      </c>
      <c r="Q12" t="inlineStr">
        <is>
          <t>待確認</t>
        </is>
      </c>
      <c r="R12" t="n">
        <v>29362.46222222222</v>
      </c>
      <c r="S12" t="n">
        <v>29376.63476190476</v>
      </c>
      <c r="T12" t="n">
        <v>29376.38368312597</v>
      </c>
      <c r="U12" t="n">
        <v>-0.002830442422354375</v>
      </c>
      <c r="V12" t="n">
        <v>-0.01804963755671772</v>
      </c>
      <c r="W12" t="n">
        <v>-0.01153636928992683</v>
      </c>
      <c r="X12" t="inlineStr">
        <is>
          <t>震盪糾結</t>
        </is>
      </c>
      <c r="Y12" t="inlineStr">
        <is>
          <t>震盪糾結</t>
        </is>
      </c>
      <c r="Z12" t="n">
        <v>-2</v>
      </c>
      <c r="AA12" t="inlineStr">
        <is>
          <t>偏空</t>
        </is>
      </c>
      <c r="AB12" t="n">
        <v>17.77714285714306</v>
      </c>
      <c r="AC12" t="n">
        <v>444</v>
      </c>
      <c r="AD12" t="n">
        <v>1059.7</v>
      </c>
      <c r="AE12" t="inlineStr">
        <is>
          <t>縮量</t>
        </is>
      </c>
      <c r="AF12" t="inlineStr">
        <is>
          <t>偏空</t>
        </is>
      </c>
      <c r="AG12" t="inlineStr">
        <is>
          <t>無明顯型態</t>
        </is>
      </c>
      <c r="AH12" t="inlineStr">
        <is>
          <t>觀望</t>
        </is>
      </c>
      <c r="AI12" t="n">
        <v>-0.8475</v>
      </c>
      <c r="AJ12" t="inlineStr">
        <is>
          <t>偏空</t>
        </is>
      </c>
      <c r="AK12" t="inlineStr">
        <is>
          <t>2026.09.12 19:09:58</t>
        </is>
      </c>
      <c r="AM12" t="inlineStr">
        <is>
          <t>無測試關鍵位</t>
        </is>
      </c>
    </row>
    <row r="13">
      <c r="A13" t="inlineStr">
        <is>
          <t>JP225.cash</t>
        </is>
      </c>
      <c r="B13" t="n">
        <v>64695.5</v>
      </c>
      <c r="C13" t="n">
        <v>0.9897685721707125</v>
      </c>
      <c r="D13" t="n">
        <v>63059</v>
      </c>
      <c r="E13" t="n">
        <v>64077</v>
      </c>
      <c r="F13" t="n">
        <v>63703</v>
      </c>
      <c r="G13" t="n">
        <v>64733.5</v>
      </c>
      <c r="H13" t="n">
        <v>64135.5</v>
      </c>
      <c r="I13" t="n">
        <v>64926</v>
      </c>
      <c r="J13" t="n">
        <v>63692</v>
      </c>
      <c r="K13" t="n">
        <v>66534</v>
      </c>
      <c r="L13" t="n">
        <v>63059</v>
      </c>
      <c r="M13" t="n">
        <v>64926</v>
      </c>
      <c r="N13" t="n">
        <v>1</v>
      </c>
      <c r="O13" t="n">
        <v>1</v>
      </c>
      <c r="P13" t="inlineStr">
        <is>
          <t>待確認</t>
        </is>
      </c>
      <c r="Q13" t="inlineStr">
        <is>
          <t>待確認</t>
        </is>
      </c>
      <c r="R13" t="n">
        <v>64705.27777777778</v>
      </c>
      <c r="S13" t="n">
        <v>64716</v>
      </c>
      <c r="T13" t="n">
        <v>64716.8376840564</v>
      </c>
      <c r="U13" t="n">
        <v>-0.0172547592231372</v>
      </c>
      <c r="V13" t="n">
        <v>-0.0007358102669083516</v>
      </c>
      <c r="W13" t="n">
        <v>-0.008517572961598295</v>
      </c>
      <c r="X13" t="inlineStr">
        <is>
          <t>空頭排列</t>
        </is>
      </c>
      <c r="Y13" t="inlineStr">
        <is>
          <t>空頭排列</t>
        </is>
      </c>
      <c r="Z13" t="n">
        <v>-4</v>
      </c>
      <c r="AA13" t="inlineStr">
        <is>
          <t>強力空頭</t>
        </is>
      </c>
      <c r="AB13" t="n">
        <v>49.125</v>
      </c>
      <c r="AC13" t="n">
        <v>29</v>
      </c>
      <c r="AD13" t="n">
        <v>106.85</v>
      </c>
      <c r="AE13" t="inlineStr">
        <is>
          <t>縮量</t>
        </is>
      </c>
      <c r="AF13" t="inlineStr">
        <is>
          <t>強勢空</t>
        </is>
      </c>
      <c r="AG13" t="inlineStr">
        <is>
          <t>看跌吞噬</t>
        </is>
      </c>
      <c r="AH13" t="inlineStr">
        <is>
          <t>觀望</t>
        </is>
      </c>
      <c r="AI13" t="n">
        <v>-1.2825</v>
      </c>
      <c r="AJ13" t="inlineStr">
        <is>
          <t>強力空頭</t>
        </is>
      </c>
      <c r="AK13" t="inlineStr">
        <is>
          <t>2026.09.12 19:09:58</t>
        </is>
      </c>
      <c r="AM13" t="inlineStr">
        <is>
          <t>無測試關鍵位</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E12"/>
  <sheetViews>
    <sheetView workbookViewId="0">
      <pane ySplit="1" topLeftCell="A2" activePane="bottomLeft" state="frozen"/>
      <selection pane="bottomLeft" activeCell="A1" sqref="A1"/>
    </sheetView>
  </sheetViews>
  <sheetFormatPr baseColWidth="8" defaultRowHeight="15"/>
  <cols>
    <col width="11.7109375" customWidth="1" min="1" max="1"/>
    <col width="12.7109375" customWidth="1" min="2" max="2"/>
    <col width="16.7109375" customWidth="1" min="18" max="18"/>
    <col width="12.7109375" customWidth="1" min="19" max="19"/>
    <col width="14.7109375" customWidth="1" min="22" max="22"/>
    <col width="10.7109375" customWidth="1" min="23" max="23"/>
    <col width="14.7109375" customWidth="1" min="24" max="24"/>
    <col width="12.7109375" customWidth="1" min="25" max="25"/>
    <col width="14.7109375" customWidth="1" min="27" max="27"/>
    <col width="18.7109375" customWidth="1" min="28" max="28"/>
    <col width="38.7109375" customWidth="1" min="30" max="30"/>
    <col width="20.7109375" customWidth="1" min="31" max="31"/>
  </cols>
  <sheetData>
    <row r="1" ht="32.1" customHeight="1">
      <c r="A1" s="13" t="inlineStr">
        <is>
          <t>8 大商品 MT5 即時交易分析與極限防線監控</t>
        </is>
      </c>
    </row>
    <row r="2">
      <c r="A2" s="14" t="inlineStr">
        <is>
          <t>支撐壓力＋均線趨勢＋成交量三大核心判斷</t>
        </is>
      </c>
    </row>
    <row r="3">
      <c r="A3" t="inlineStr">
        <is>
          <t>最後更新時間：尚未更新</t>
        </is>
      </c>
    </row>
    <row r="4" ht="42" customHeight="1">
      <c r="A4" s="15" t="inlineStr">
        <is>
          <t>商品</t>
        </is>
      </c>
      <c r="B4" s="15" t="inlineStr">
        <is>
          <t>即時 Bid</t>
        </is>
      </c>
      <c r="C4" s="15" t="inlineStr">
        <is>
          <t>週支撐</t>
        </is>
      </c>
      <c r="D4" s="15" t="inlineStr">
        <is>
          <t>週壓力</t>
        </is>
      </c>
      <c r="E4" s="15" t="inlineStr">
        <is>
          <t>近支撐</t>
        </is>
      </c>
      <c r="F4" s="15" t="inlineStr">
        <is>
          <t>近壓力</t>
        </is>
      </c>
      <c r="G4" s="15" t="inlineStr">
        <is>
          <t>短MA</t>
        </is>
      </c>
      <c r="H4" s="15" t="inlineStr">
        <is>
          <t>長MA</t>
        </is>
      </c>
      <c r="I4" s="15" t="inlineStr">
        <is>
          <t>EMA</t>
        </is>
      </c>
      <c r="J4" s="15" t="inlineStr">
        <is>
          <t>短MA斜率%</t>
        </is>
      </c>
      <c r="K4" s="15" t="inlineStr">
        <is>
          <t>長MA斜率%</t>
        </is>
      </c>
      <c r="L4" s="15" t="inlineStr">
        <is>
          <t>EMA斜率%</t>
        </is>
      </c>
      <c r="M4" s="15" t="inlineStr">
        <is>
          <t>均線排列</t>
        </is>
      </c>
      <c r="N4" s="15" t="inlineStr">
        <is>
          <t>交叉狀態</t>
        </is>
      </c>
      <c r="O4" s="15" t="inlineStr">
        <is>
          <t>趨勢分數</t>
        </is>
      </c>
      <c r="P4" s="15" t="inlineStr">
        <is>
          <t>趨勢判定</t>
        </is>
      </c>
      <c r="Q4" s="15" t="inlineStr">
        <is>
          <t>個人化SL(ATR)</t>
        </is>
      </c>
      <c r="R4" s="15" t="inlineStr">
        <is>
          <t>目前量</t>
        </is>
      </c>
      <c r="S4" s="15" t="inlineStr">
        <is>
          <t>平均量</t>
        </is>
      </c>
      <c r="T4" s="15" t="inlineStr">
        <is>
          <t>量能狀態</t>
        </is>
      </c>
      <c r="U4" s="15" t="inlineStr">
        <is>
          <t>最終訊號</t>
        </is>
      </c>
      <c r="V4" s="15" t="inlineStr">
        <is>
          <t>M15多頭票</t>
        </is>
      </c>
      <c r="W4" s="15" t="inlineStr">
        <is>
          <t>M15空頭票</t>
        </is>
      </c>
      <c r="X4" s="15" t="inlineStr">
        <is>
          <t>M15共振狀態</t>
        </is>
      </c>
      <c r="Y4" s="15" t="inlineStr">
        <is>
          <t>H1多頭票</t>
        </is>
      </c>
      <c r="Z4" s="15" t="inlineStr">
        <is>
          <t>H1空頭票</t>
        </is>
      </c>
      <c r="AA4" s="15" t="inlineStr">
        <is>
          <t>H1共振狀態</t>
        </is>
      </c>
      <c r="AB4" s="15" t="inlineStr">
        <is>
          <t>更新時間</t>
        </is>
      </c>
    </row>
    <row r="5" ht="54.95" customHeight="1">
      <c r="A5" t="inlineStr">
        <is>
          <t>EURUSD</t>
        </is>
      </c>
      <c r="B5" s="16" t="n">
        <v>1.1637</v>
      </c>
      <c r="C5" s="16" t="n">
        <v>1.13533</v>
      </c>
      <c r="D5" s="16" t="n">
        <v>1.17113</v>
      </c>
      <c r="E5" s="16" t="n">
        <v>1.16115</v>
      </c>
      <c r="F5" s="16">
        <f>IF(D5="","",D5-B5)</f>
        <v/>
      </c>
      <c r="G5" s="16">
        <f>IF(C5="","",B5-C5)</f>
        <v/>
      </c>
      <c r="H5" s="16" t="n">
        <v>0.0095</v>
      </c>
      <c r="I5" t="inlineStr">
        <is>
          <t>【強勁空頭】均線斜率向下共振</t>
        </is>
      </c>
      <c r="J5" t="inlineStr">
        <is>
          <t>【區間運行】未挑戰關鍵支撐壓力</t>
        </is>
      </c>
      <c r="K5" t="inlineStr">
        <is>
          <t>【盤整策略】高拋低吸，依據個人 SL 防守</t>
        </is>
      </c>
      <c r="L5" t="inlineStr">
        <is>
          <t>? 持續監控</t>
        </is>
      </c>
    </row>
    <row r="6" ht="54.95" customHeight="1">
      <c r="A6" t="inlineStr">
        <is>
          <t>GBPUSD</t>
        </is>
      </c>
      <c r="B6" s="16" t="n">
        <v>1.35444</v>
      </c>
      <c r="C6" s="16" t="n">
        <v>1.32733</v>
      </c>
      <c r="D6" s="16" t="n">
        <v>1.36754</v>
      </c>
      <c r="E6" s="16" t="n">
        <v>1.35086</v>
      </c>
      <c r="F6" s="16">
        <f>IF(D6="","",D6-B6)</f>
        <v/>
      </c>
      <c r="G6" s="16">
        <f>IF(C6="","",B6-C6)</f>
        <v/>
      </c>
      <c r="H6" s="16" t="n">
        <v>0.012</v>
      </c>
      <c r="I6" t="inlineStr">
        <is>
          <t>【強勁空頭】均線斜率向下共振</t>
        </is>
      </c>
      <c r="J6" t="inlineStr">
        <is>
          <t>【區間運行】未挑戰關鍵支撐壓力</t>
        </is>
      </c>
      <c r="K6" t="inlineStr">
        <is>
          <t>【盤整策略】高拋低吸，依據個人 SL 防守</t>
        </is>
      </c>
      <c r="L6" t="inlineStr">
        <is>
          <t>? 持續監控</t>
        </is>
      </c>
    </row>
    <row r="7" ht="54.95" customHeight="1">
      <c r="A7" t="inlineStr">
        <is>
          <t>USDJPY</t>
        </is>
      </c>
      <c r="B7" s="18" t="n">
        <v>155.418</v>
      </c>
      <c r="C7" s="18" t="n">
        <v>155.227</v>
      </c>
      <c r="D7" s="18" t="n">
        <v>163.948</v>
      </c>
      <c r="E7" s="18" t="n">
        <v>156.252</v>
      </c>
      <c r="F7" s="18">
        <f>IF(D7="","",D7-B7)</f>
        <v/>
      </c>
      <c r="G7" s="18">
        <f>IF(C7="","",B7-C7)</f>
        <v/>
      </c>
      <c r="H7" s="18" t="n">
        <v>1.1</v>
      </c>
      <c r="I7" t="inlineStr">
        <is>
          <t>【強勁多頭】均線斜率向上共振</t>
        </is>
      </c>
      <c r="J7" t="inlineStr">
        <is>
          <t>【區間運行】未挑戰關鍵支撐壓力</t>
        </is>
      </c>
      <c r="K7" t="inlineStr">
        <is>
          <t>【盤整策略】高拋低吸，依據個人 SL 防守</t>
        </is>
      </c>
      <c r="L7" t="inlineStr">
        <is>
          <t>? 持續監控</t>
        </is>
      </c>
    </row>
    <row r="8" ht="54.95" customHeight="1">
      <c r="A8" t="inlineStr">
        <is>
          <t>USDCAD</t>
        </is>
      </c>
      <c r="B8" s="16" t="n">
        <v>1.37799</v>
      </c>
      <c r="C8" s="16" t="n">
        <v>1.3732</v>
      </c>
      <c r="D8" s="16" t="n">
        <v>1.41287</v>
      </c>
      <c r="E8" s="16" t="n">
        <v>1.38064</v>
      </c>
      <c r="F8" s="16">
        <f>IF(D8="","",D8-B8)</f>
        <v/>
      </c>
      <c r="G8" s="16">
        <f>IF(C8="","",B8-C8)</f>
        <v/>
      </c>
      <c r="H8" s="16" t="n">
        <v>0.008500000000000001</v>
      </c>
      <c r="I8" t="inlineStr">
        <is>
          <t>【強勁多頭】均線斜率向上共振</t>
        </is>
      </c>
      <c r="J8" t="inlineStr">
        <is>
          <t>【區間運行】未挑戰關鍵支撐壓力</t>
        </is>
      </c>
      <c r="K8" t="inlineStr">
        <is>
          <t>【盤整策略】高拋低吸，依據個人 SL 防守</t>
        </is>
      </c>
      <c r="L8" t="inlineStr">
        <is>
          <t>? 持續監控</t>
        </is>
      </c>
    </row>
    <row r="9" ht="54.95" customHeight="1">
      <c r="A9" t="inlineStr">
        <is>
          <t>AUDUSD</t>
        </is>
      </c>
      <c r="B9" s="16" t="n">
        <v>0.72067</v>
      </c>
      <c r="C9" s="16" t="n">
        <v>0.69221</v>
      </c>
      <c r="D9" s="16" t="n">
        <v>0.72079</v>
      </c>
      <c r="E9" s="16" t="n">
        <v>0.71871</v>
      </c>
      <c r="F9" s="16">
        <f>IF(D9="","",D9-B9)</f>
        <v/>
      </c>
      <c r="G9" s="16">
        <f>IF(C9="","",B9-C9)</f>
        <v/>
      </c>
      <c r="H9" s="16" t="n">
        <v>0.008</v>
      </c>
      <c r="I9" t="inlineStr">
        <is>
          <t>【強勁空頭】均線斜率向下共振</t>
        </is>
      </c>
      <c r="J9" t="inlineStr">
        <is>
          <t>【區間運行】未挑戰關鍵支撐壓力</t>
        </is>
      </c>
      <c r="K9" t="inlineStr">
        <is>
          <t>【盤整策略】高拋低吸，依據個人 SL 防守</t>
        </is>
      </c>
      <c r="L9" t="inlineStr">
        <is>
          <t>? 持續監控</t>
        </is>
      </c>
    </row>
    <row r="10" ht="54.95" customHeight="1">
      <c r="A10" t="inlineStr">
        <is>
          <t>NZDUSD</t>
        </is>
      </c>
      <c r="B10" s="16" t="n">
        <v>0.58868</v>
      </c>
      <c r="C10" s="16" t="n">
        <v>0.57617</v>
      </c>
      <c r="D10" s="16" t="n">
        <v>0.59879</v>
      </c>
      <c r="E10" s="16" t="n">
        <v>0.5870300000000001</v>
      </c>
      <c r="F10" s="16">
        <f>IF(D10="","",D10-B10)</f>
        <v/>
      </c>
      <c r="G10" s="16">
        <f>IF(C10="","",B10-C10)</f>
        <v/>
      </c>
      <c r="H10" s="16" t="n">
        <v>0.0075</v>
      </c>
      <c r="I10" t="inlineStr">
        <is>
          <t>【強勁空頭】均線斜率向下共振</t>
        </is>
      </c>
      <c r="J10" t="inlineStr">
        <is>
          <t>【區間運行】未挑戰關鍵支撐壓力</t>
        </is>
      </c>
      <c r="K10" t="inlineStr">
        <is>
          <t>【盤整策略】高拋低吸，依據個人 SL 防守</t>
        </is>
      </c>
      <c r="L10" t="inlineStr">
        <is>
          <t>? 持續監控</t>
        </is>
      </c>
    </row>
    <row r="11" ht="54.95" customHeight="1">
      <c r="A11" t="inlineStr">
        <is>
          <t>USDCHF</t>
        </is>
      </c>
      <c r="B11" s="16" t="n">
        <v>0.80623</v>
      </c>
      <c r="C11" s="16" t="n">
        <v>0.79495</v>
      </c>
      <c r="D11" s="16" t="n">
        <v>0.82067</v>
      </c>
      <c r="E11" s="16" t="n">
        <v>0.80901</v>
      </c>
      <c r="F11" s="16">
        <f>IF(D11="","",D11-B11)</f>
        <v/>
      </c>
      <c r="G11" s="16">
        <f>IF(C11="","",B11-C11)</f>
        <v/>
      </c>
      <c r="H11" s="16" t="n">
        <v>0.01</v>
      </c>
      <c r="I11" t="inlineStr">
        <is>
          <t>【強勁多頭】均線斜率向上共振</t>
        </is>
      </c>
      <c r="J11" t="inlineStr">
        <is>
          <t>【區間運行】未挑戰關鍵支撐壓力</t>
        </is>
      </c>
      <c r="K11" t="inlineStr">
        <is>
          <t>【盤整策略】高拋低吸，依據個人 SL 防守</t>
        </is>
      </c>
      <c r="L11" t="inlineStr">
        <is>
          <t>? 持續監控</t>
        </is>
      </c>
    </row>
    <row r="12" ht="54.95" customHeight="1">
      <c r="A12" t="inlineStr">
        <is>
          <t>XAUUSD</t>
        </is>
      </c>
      <c r="B12" s="18" t="n">
        <v>4493.07</v>
      </c>
      <c r="C12" s="18" t="n">
        <v>3995.83</v>
      </c>
      <c r="D12" s="18" t="n">
        <v>4696.6</v>
      </c>
      <c r="E12" s="18" t="n">
        <v>4445.39</v>
      </c>
      <c r="F12" s="18">
        <f>IF(D12="","",D12-B12)</f>
        <v/>
      </c>
      <c r="G12" s="18">
        <f>IF(C12="","",B12-C12)</f>
        <v/>
      </c>
      <c r="H12" s="18" t="n">
        <v>19</v>
      </c>
      <c r="I12" t="inlineStr">
        <is>
          <t>【強勁空頭】均線斜率向下共振</t>
        </is>
      </c>
      <c r="J12" t="inlineStr">
        <is>
          <t>【區間運行】未挑戰關鍵支撐壓力</t>
        </is>
      </c>
      <c r="K12" t="inlineStr">
        <is>
          <t>【盤整策略】高拋低吸，依據個人 SL 防守</t>
        </is>
      </c>
      <c r="L12" t="inlineStr">
        <is>
          <t>? 持續監控</t>
        </is>
      </c>
    </row>
  </sheetData>
  <mergeCells count="3">
    <mergeCell ref="A1:AE1"/>
    <mergeCell ref="A3:AE3"/>
    <mergeCell ref="A2:AE2"/>
  </mergeCell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F9"/>
  <sheetViews>
    <sheetView workbookViewId="0">
      <pane ySplit="4" topLeftCell="A5" activePane="bottomLeft" state="frozen"/>
      <selection pane="bottomLeft" activeCell="A1" sqref="A1"/>
    </sheetView>
  </sheetViews>
  <sheetFormatPr baseColWidth="8" defaultRowHeight="15"/>
  <cols>
    <col width="14.7109375" customWidth="1" min="1" max="1"/>
  </cols>
  <sheetData>
    <row r="1" ht="35.1" customHeight="1">
      <c r="A1" s="15" t="inlineStr">
        <is>
          <t>商品</t>
        </is>
      </c>
      <c r="B1" s="15" t="inlineStr">
        <is>
          <t>即時 Bid</t>
        </is>
      </c>
      <c r="C1" s="15" t="inlineStr">
        <is>
          <t>亞盤低</t>
        </is>
      </c>
      <c r="D1" s="15" t="inlineStr">
        <is>
          <t>亞盤高</t>
        </is>
      </c>
      <c r="E1" s="15" t="inlineStr">
        <is>
          <t>歐盤低</t>
        </is>
      </c>
      <c r="F1" s="15" t="inlineStr">
        <is>
          <t>歐盤高</t>
        </is>
      </c>
      <c r="G1" s="15" t="inlineStr">
        <is>
          <t>美盤低</t>
        </is>
      </c>
      <c r="H1" s="15" t="inlineStr">
        <is>
          <t>美盤高</t>
        </is>
      </c>
      <c r="I1" s="15" t="inlineStr">
        <is>
          <t>週支撐</t>
        </is>
      </c>
      <c r="J1" s="15" t="inlineStr">
        <is>
          <t>週壓力</t>
        </is>
      </c>
      <c r="K1" s="15" t="inlineStr">
        <is>
          <t>近支撐</t>
        </is>
      </c>
      <c r="L1" s="15" t="inlineStr">
        <is>
          <t>近壓力</t>
        </is>
      </c>
      <c r="M1" s="15" t="inlineStr">
        <is>
          <t>支撐觸碰</t>
        </is>
      </c>
      <c r="N1" s="15" t="inlineStr">
        <is>
          <t>壓力觸碰</t>
        </is>
      </c>
      <c r="O1" s="15" t="inlineStr">
        <is>
          <t>支撐有效</t>
        </is>
      </c>
      <c r="P1" s="15" t="inlineStr">
        <is>
          <t>壓力有效</t>
        </is>
      </c>
      <c r="Q1" s="15" t="inlineStr">
        <is>
          <t>短MA</t>
        </is>
      </c>
      <c r="R1" s="15" t="inlineStr">
        <is>
          <t>長MA</t>
        </is>
      </c>
      <c r="S1" s="15" t="inlineStr">
        <is>
          <t>EMA</t>
        </is>
      </c>
      <c r="T1" s="15" t="inlineStr">
        <is>
          <t>短MA斜率%</t>
        </is>
      </c>
      <c r="U1" s="15" t="inlineStr">
        <is>
          <t>長MA斜率%</t>
        </is>
      </c>
      <c r="V1" s="15" t="inlineStr">
        <is>
          <t>EMA斜率%</t>
        </is>
      </c>
      <c r="W1" s="15" t="inlineStr">
        <is>
          <t>均線排列</t>
        </is>
      </c>
      <c r="X1" s="15" t="inlineStr">
        <is>
          <t>交叉狀態</t>
        </is>
      </c>
      <c r="Y1" s="15" t="inlineStr">
        <is>
          <t>趨勢分數</t>
        </is>
      </c>
      <c r="Z1" s="15" t="inlineStr">
        <is>
          <t>趨勢判定</t>
        </is>
      </c>
      <c r="AA1" s="15" t="inlineStr">
        <is>
          <t>個人化SL(ATR)</t>
        </is>
      </c>
      <c r="AB1" s="15" t="inlineStr">
        <is>
          <t>目前量</t>
        </is>
      </c>
      <c r="AC1" s="15" t="inlineStr">
        <is>
          <t>平均量</t>
        </is>
      </c>
      <c r="AD1" s="15" t="inlineStr">
        <is>
          <t>量能狀態</t>
        </is>
      </c>
      <c r="AE1" s="15" t="inlineStr">
        <is>
          <t>最終訊號</t>
        </is>
      </c>
      <c r="AF1" s="15" t="inlineStr">
        <is>
          <t>更新時間</t>
        </is>
      </c>
    </row>
    <row r="2">
      <c r="A2" t="inlineStr">
        <is>
          <t>EURUSD</t>
        </is>
      </c>
      <c r="B2" t="n">
        <v>1.1637</v>
      </c>
      <c r="C2" t="n">
        <v>1.13533</v>
      </c>
      <c r="D2" t="n">
        <v>1.17113</v>
      </c>
      <c r="E2" t="n">
        <v>1.16211</v>
      </c>
      <c r="F2" t="n">
        <v>1.16098</v>
      </c>
      <c r="G2" t="n">
        <v>1.16115</v>
      </c>
      <c r="H2" t="n">
        <v>-0.0006025</v>
      </c>
      <c r="I2" t="n">
        <v>-0.0004008</v>
      </c>
      <c r="J2" t="n">
        <v>-0.0004589</v>
      </c>
      <c r="K2" t="inlineStr">
        <is>
          <t>多頭排列</t>
        </is>
      </c>
      <c r="L2" t="n">
        <v>378</v>
      </c>
      <c r="M2" t="n">
        <v>1425</v>
      </c>
      <c r="N2" t="inlineStr">
        <is>
          <t>2026.09.03 20:40:30</t>
        </is>
      </c>
    </row>
    <row r="3">
      <c r="A3" t="inlineStr">
        <is>
          <t>GBPUSD</t>
        </is>
      </c>
      <c r="B3" t="n">
        <v>1.35444</v>
      </c>
      <c r="C3" t="n">
        <v>1.32733</v>
      </c>
      <c r="D3" t="n">
        <v>1.36754</v>
      </c>
      <c r="E3" t="n">
        <v>1.35183</v>
      </c>
      <c r="F3" t="n">
        <v>1.3504</v>
      </c>
      <c r="G3" t="n">
        <v>1.35086</v>
      </c>
      <c r="H3" t="n">
        <v>-0.0010811</v>
      </c>
      <c r="I3" t="n">
        <v>-0.0005989</v>
      </c>
      <c r="J3" t="n">
        <v>-0.0007078</v>
      </c>
      <c r="K3" t="inlineStr">
        <is>
          <t>多頭排列</t>
        </is>
      </c>
      <c r="L3" t="n">
        <v>706</v>
      </c>
      <c r="M3" t="n">
        <v>1825</v>
      </c>
      <c r="N3" t="inlineStr">
        <is>
          <t>2026.09.03 20:40:33</t>
        </is>
      </c>
    </row>
    <row r="4">
      <c r="A4" t="inlineStr">
        <is>
          <t>USDJPY</t>
        </is>
      </c>
      <c r="B4" t="n">
        <v>155.418</v>
      </c>
      <c r="C4" t="n">
        <v>155.227</v>
      </c>
      <c r="D4" t="n">
        <v>163.948</v>
      </c>
      <c r="E4" t="n">
        <v>155.551</v>
      </c>
      <c r="F4" t="n">
        <v>156.268</v>
      </c>
      <c r="G4" t="n">
        <v>156.252</v>
      </c>
      <c r="H4" t="n">
        <v>0.08683</v>
      </c>
      <c r="I4" t="n">
        <v>0.22718</v>
      </c>
      <c r="J4" t="n">
        <v>0.1723</v>
      </c>
      <c r="K4" t="inlineStr">
        <is>
          <t>空頭排列</t>
        </is>
      </c>
      <c r="L4" t="n">
        <v>711</v>
      </c>
      <c r="M4" t="n">
        <v>2192</v>
      </c>
      <c r="N4" t="inlineStr">
        <is>
          <t>2026.09.03 20:40:36</t>
        </is>
      </c>
    </row>
    <row r="5">
      <c r="A5" t="inlineStr">
        <is>
          <t>USDCAD</t>
        </is>
      </c>
      <c r="B5" t="n">
        <v>1.37799</v>
      </c>
      <c r="C5" t="n">
        <v>1.3732</v>
      </c>
      <c r="D5" t="n">
        <v>1.41287</v>
      </c>
      <c r="E5" t="n">
        <v>1.37922</v>
      </c>
      <c r="F5" t="n">
        <v>1.38089</v>
      </c>
      <c r="G5" t="n">
        <v>1.38064</v>
      </c>
      <c r="H5" t="n">
        <v>0.0005905</v>
      </c>
      <c r="I5" t="n">
        <v>0.0005542</v>
      </c>
      <c r="J5" t="n">
        <v>0.0005691</v>
      </c>
      <c r="K5" t="inlineStr">
        <is>
          <t>空頭排列</t>
        </is>
      </c>
      <c r="L5" t="n">
        <v>305</v>
      </c>
      <c r="M5" t="n">
        <v>1157</v>
      </c>
      <c r="N5" t="inlineStr">
        <is>
          <t>2026.09.03 20:40:38</t>
        </is>
      </c>
    </row>
    <row r="6">
      <c r="A6" t="inlineStr">
        <is>
          <t>AUDUSD</t>
        </is>
      </c>
      <c r="B6" t="n">
        <v>0.72067</v>
      </c>
      <c r="C6" t="n">
        <v>0.69221</v>
      </c>
      <c r="D6" t="n">
        <v>0.72079</v>
      </c>
      <c r="E6" t="n">
        <v>0.71957</v>
      </c>
      <c r="F6" t="n">
        <v>0.7184700000000001</v>
      </c>
      <c r="G6" t="n">
        <v>0.71871</v>
      </c>
      <c r="H6" t="n">
        <v>-0.0002172</v>
      </c>
      <c r="I6" t="n">
        <v>-0.0004856</v>
      </c>
      <c r="J6" t="n">
        <v>-0.0003618</v>
      </c>
      <c r="K6" t="inlineStr">
        <is>
          <t>多頭排列</t>
        </is>
      </c>
      <c r="L6" t="n">
        <v>335</v>
      </c>
      <c r="M6" t="n">
        <v>1307</v>
      </c>
      <c r="N6" t="inlineStr">
        <is>
          <t>2026.09.03 20:40:41</t>
        </is>
      </c>
    </row>
    <row r="7">
      <c r="A7" t="inlineStr">
        <is>
          <t>NZDUSD</t>
        </is>
      </c>
      <c r="B7" t="n">
        <v>0.58868</v>
      </c>
      <c r="C7" t="n">
        <v>0.57617</v>
      </c>
      <c r="D7" t="n">
        <v>0.59879</v>
      </c>
      <c r="E7" t="n">
        <v>0.58766</v>
      </c>
      <c r="F7" t="n">
        <v>0.5868100000000001</v>
      </c>
      <c r="G7" t="n">
        <v>0.5870300000000001</v>
      </c>
      <c r="H7" t="n">
        <v>-0.000445</v>
      </c>
      <c r="I7" t="n">
        <v>-0.0003542</v>
      </c>
      <c r="J7" t="n">
        <v>-0.0003406</v>
      </c>
      <c r="K7" t="inlineStr">
        <is>
          <t>多頭排列</t>
        </is>
      </c>
      <c r="L7" t="n">
        <v>300</v>
      </c>
      <c r="M7" t="n">
        <v>1024</v>
      </c>
      <c r="N7" t="inlineStr">
        <is>
          <t>2026.09.03 20:40:44</t>
        </is>
      </c>
    </row>
    <row r="8">
      <c r="A8" t="inlineStr">
        <is>
          <t>USDCHF</t>
        </is>
      </c>
      <c r="B8" t="n">
        <v>0.80623</v>
      </c>
      <c r="C8" t="n">
        <v>0.79495</v>
      </c>
      <c r="D8" t="n">
        <v>0.82067</v>
      </c>
      <c r="E8" t="n">
        <v>0.80775</v>
      </c>
      <c r="F8" t="n">
        <v>0.80912</v>
      </c>
      <c r="G8" t="n">
        <v>0.80901</v>
      </c>
      <c r="H8" t="n">
        <v>0.000652</v>
      </c>
      <c r="I8" t="n">
        <v>0.0005752</v>
      </c>
      <c r="J8" t="n">
        <v>0.0005419</v>
      </c>
      <c r="K8" t="inlineStr">
        <is>
          <t>空頭排列</t>
        </is>
      </c>
      <c r="L8" t="n">
        <v>365</v>
      </c>
      <c r="M8" t="n">
        <v>1225</v>
      </c>
      <c r="N8" t="inlineStr">
        <is>
          <t>2026.09.03 20:40:47</t>
        </is>
      </c>
    </row>
    <row r="9">
      <c r="A9" t="inlineStr">
        <is>
          <t>XAUUSD</t>
        </is>
      </c>
      <c r="B9" t="n">
        <v>4493.07</v>
      </c>
      <c r="C9" t="n">
        <v>3995.83</v>
      </c>
      <c r="D9" t="n">
        <v>4696.6</v>
      </c>
      <c r="E9" t="n">
        <v>4476.5</v>
      </c>
      <c r="F9" t="n">
        <v>4443.43</v>
      </c>
      <c r="G9" t="n">
        <v>4445.39</v>
      </c>
      <c r="H9" t="n">
        <v>-10.317</v>
      </c>
      <c r="I9" t="n">
        <v>-6.6842</v>
      </c>
      <c r="J9" t="n">
        <v>-6.7897</v>
      </c>
      <c r="K9" t="inlineStr">
        <is>
          <t>多頭排列</t>
        </is>
      </c>
      <c r="L9" t="n">
        <v>1967</v>
      </c>
      <c r="M9" t="n">
        <v>4307</v>
      </c>
      <c r="N9" t="inlineStr">
        <is>
          <t>2026.09.03 20:40:56</t>
        </is>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R17"/>
  <sheetViews>
    <sheetView workbookViewId="0">
      <selection activeCell="A1" sqref="A1"/>
    </sheetView>
  </sheetViews>
  <sheetFormatPr baseColWidth="8" defaultRowHeight="15"/>
  <cols>
    <col width="11" customWidth="1" min="1" max="1"/>
    <col width="6.28515625" customWidth="1" min="2" max="2"/>
    <col width="23.42578125" customWidth="1" min="3" max="3"/>
    <col width="11" customWidth="1" min="4" max="4"/>
    <col width="11" customWidth="1" min="5" max="5"/>
    <col width="14.28515625" customWidth="1" min="6" max="6"/>
    <col width="13.5703125" customWidth="1" min="7" max="7"/>
    <col width="20.85546875" customWidth="1" min="8" max="8"/>
    <col width="14.42578125" customWidth="1" min="9" max="9"/>
    <col width="11.42578125" customWidth="1" min="10" max="10"/>
    <col width="15.140625" customWidth="1" min="11" max="11"/>
    <col width="15.85546875" customWidth="1" min="12" max="12"/>
    <col width="11.5703125" customWidth="1" min="13" max="13"/>
    <col width="15.7109375" customWidth="1" min="14" max="14"/>
    <col width="14.140625" customWidth="1" min="15" max="15"/>
    <col width="14.28515625" customWidth="1" min="16" max="16"/>
    <col width="31.5703125" customWidth="1" min="18" max="18"/>
  </cols>
  <sheetData>
    <row r="1">
      <c r="A1" s="19" t="inlineStr">
        <is>
          <t>主力商品</t>
        </is>
      </c>
      <c r="B1" s="19" t="inlineStr">
        <is>
          <t>週期</t>
        </is>
      </c>
      <c r="C1" s="19" t="inlineStr">
        <is>
          <t>策略類別</t>
        </is>
      </c>
      <c r="D1" s="19" t="inlineStr">
        <is>
          <t>對沖商品</t>
        </is>
      </c>
      <c r="E1" s="20" t="inlineStr">
        <is>
          <t>對沖手數</t>
        </is>
      </c>
      <c r="F1" s="19" t="inlineStr">
        <is>
          <t>對沖相關性</t>
        </is>
      </c>
      <c r="G1" s="19" t="inlineStr">
        <is>
          <t>1.EMA均線</t>
        </is>
      </c>
      <c r="H1" s="19" t="inlineStr">
        <is>
          <t>2.ATR SL/TP</t>
        </is>
      </c>
      <c r="I1" s="19" t="inlineStr">
        <is>
          <t>3.RSI門檻</t>
        </is>
      </c>
      <c r="J1" s="19" t="inlineStr">
        <is>
          <t>4.KD門檻</t>
        </is>
      </c>
      <c r="K1" s="19" t="inlineStr">
        <is>
          <t>5.PSY門檻</t>
        </is>
      </c>
      <c r="L1" s="19" t="inlineStr">
        <is>
          <t>6.MACD參數</t>
        </is>
      </c>
      <c r="M1" s="19" t="inlineStr">
        <is>
          <t>7.BB布林</t>
        </is>
      </c>
      <c r="N1" s="19" t="inlineStr">
        <is>
          <t>8.Keltner通道</t>
        </is>
      </c>
      <c r="O1" s="19" t="inlineStr">
        <is>
          <t>9.CCI參數</t>
        </is>
      </c>
      <c r="P1" s="19" t="inlineStr">
        <is>
          <t>10.優化勝率</t>
        </is>
      </c>
      <c r="Q1" s="19" t="inlineStr">
        <is>
          <t>11.夏普比率</t>
        </is>
      </c>
      <c r="R1" s="19" t="inlineStr">
        <is>
          <t>實戰訊號</t>
        </is>
      </c>
    </row>
    <row r="2">
      <c r="A2" s="11" t="inlineStr">
        <is>
          <t>EURUSD</t>
        </is>
      </c>
      <c r="B2" s="11" t="inlineStr">
        <is>
          <t>M5</t>
        </is>
      </c>
      <c r="C2" s="11" t="inlineStr">
        <is>
          <t>M5 策略 B (回檔承接)</t>
        </is>
      </c>
      <c r="D2" s="11" t="inlineStr">
        <is>
          <t>USDCHF</t>
        </is>
      </c>
      <c r="E2" s="21" t="inlineStr">
        <is>
          <t>1 : 1.00</t>
        </is>
      </c>
      <c r="F2" s="11" t="inlineStr">
        <is>
          <t>反向(負相關)</t>
        </is>
      </c>
      <c r="G2" t="inlineStr">
        <is>
          <t>8 / 34 EMA</t>
        </is>
      </c>
      <c r="H2" t="inlineStr">
        <is>
          <t>SL:75點 / TP:195點</t>
        </is>
      </c>
      <c r="I2" t="inlineStr">
        <is>
          <t>RSI(12, 35/65)</t>
        </is>
      </c>
      <c r="J2" t="inlineStr">
        <is>
          <t>KD(8,3,3)</t>
        </is>
      </c>
      <c r="K2" t="inlineStr">
        <is>
          <t>PSY(10, 25/75)</t>
        </is>
      </c>
      <c r="L2" t="inlineStr">
        <is>
          <t>MACD(10,22,8)</t>
        </is>
      </c>
      <c r="M2" t="inlineStr">
        <is>
          <t>BB(18, 1.8)</t>
        </is>
      </c>
      <c r="N2" t="inlineStr">
        <is>
          <t>Keltner(16, 1.5)</t>
        </is>
      </c>
      <c r="O2" t="inlineStr">
        <is>
          <t>CCI(12, ±100)</t>
        </is>
      </c>
      <c r="P2" s="22" t="n">
        <v>0.768</v>
      </c>
      <c r="Q2" s="23" t="n">
        <v>2.52</v>
      </c>
      <c r="R2" s="24" t="inlineStr">
        <is>
          <t>【強勢多頭】觸發多單進場</t>
        </is>
      </c>
    </row>
    <row r="3">
      <c r="A3" s="11" t="inlineStr">
        <is>
          <t>EURUSD</t>
        </is>
      </c>
      <c r="B3" s="11" t="inlineStr">
        <is>
          <t>M5</t>
        </is>
      </c>
      <c r="C3" s="11" t="inlineStr">
        <is>
          <t>M5 策略 A (動態突破)</t>
        </is>
      </c>
      <c r="D3" s="11" t="inlineStr">
        <is>
          <t>USDCHF</t>
        </is>
      </c>
      <c r="E3" s="21" t="inlineStr">
        <is>
          <t>1 : 1.00</t>
        </is>
      </c>
      <c r="F3" s="11" t="inlineStr">
        <is>
          <t>反向(負相關)</t>
        </is>
      </c>
      <c r="G3" t="inlineStr">
        <is>
          <t>5 / 20 EMA</t>
        </is>
      </c>
      <c r="H3" t="inlineStr">
        <is>
          <t>SL:80點 / TP:180點</t>
        </is>
      </c>
      <c r="I3" t="inlineStr">
        <is>
          <t>RSI(10, 30/70)</t>
        </is>
      </c>
      <c r="J3" t="inlineStr">
        <is>
          <t>KD(6,3,3)</t>
        </is>
      </c>
      <c r="K3" t="inlineStr">
        <is>
          <t>PSY(8, 20/80)</t>
        </is>
      </c>
      <c r="L3" t="inlineStr">
        <is>
          <t>MACD(8,18,6)</t>
        </is>
      </c>
      <c r="M3" t="inlineStr">
        <is>
          <t>BB(16, 1.8)</t>
        </is>
      </c>
      <c r="N3" t="inlineStr">
        <is>
          <t>Keltner(14, 1.2)</t>
        </is>
      </c>
      <c r="O3" t="inlineStr">
        <is>
          <t>CCI(10, ±120)</t>
        </is>
      </c>
      <c r="P3" s="22" t="n">
        <v>0.731</v>
      </c>
      <c r="Q3" s="23" t="n">
        <v>2.41</v>
      </c>
      <c r="R3" s="24" t="inlineStr">
        <is>
          <t>【強勢多頭】觸發多單進場</t>
        </is>
      </c>
    </row>
    <row r="4">
      <c r="A4" s="11" t="inlineStr">
        <is>
          <t>GBPUSD</t>
        </is>
      </c>
      <c r="B4" s="11" t="inlineStr">
        <is>
          <t>M5</t>
        </is>
      </c>
      <c r="C4" s="11" t="inlineStr">
        <is>
          <t>M5 策略 B (回檔承接)</t>
        </is>
      </c>
      <c r="D4" s="11" t="inlineStr">
        <is>
          <t>EURUSD</t>
        </is>
      </c>
      <c r="E4" s="21" t="inlineStr">
        <is>
          <t>1 : 0.85</t>
        </is>
      </c>
      <c r="F4" s="11" t="inlineStr">
        <is>
          <t>同向(正相關)</t>
        </is>
      </c>
      <c r="G4" t="inlineStr">
        <is>
          <t>10 / 48 EMA</t>
        </is>
      </c>
      <c r="H4" t="inlineStr">
        <is>
          <t>SL:95點 / TP:250點</t>
        </is>
      </c>
      <c r="I4" t="inlineStr">
        <is>
          <t>RSI(14, 32/68)</t>
        </is>
      </c>
      <c r="J4" t="inlineStr">
        <is>
          <t>KD(9,3,3)</t>
        </is>
      </c>
      <c r="K4" t="inlineStr">
        <is>
          <t>PSY(12, 20/80)</t>
        </is>
      </c>
      <c r="L4" t="inlineStr">
        <is>
          <t>MACD(12,26,9)</t>
        </is>
      </c>
      <c r="M4" t="inlineStr">
        <is>
          <t>BB(20, 2.0)</t>
        </is>
      </c>
      <c r="N4" t="inlineStr">
        <is>
          <t>Keltner(20, 1.8)</t>
        </is>
      </c>
      <c r="O4" t="inlineStr">
        <is>
          <t>CCI(14, ±110)</t>
        </is>
      </c>
      <c r="P4" s="22" t="n">
        <v>0.784</v>
      </c>
      <c r="Q4" s="23" t="n">
        <v>2.68</v>
      </c>
      <c r="R4" s="24" t="inlineStr">
        <is>
          <t>【強勢多頭】觸發多單進場</t>
        </is>
      </c>
    </row>
    <row r="5">
      <c r="A5" s="11" t="inlineStr">
        <is>
          <t>GBPUSD</t>
        </is>
      </c>
      <c r="B5" s="11" t="inlineStr">
        <is>
          <t>M5</t>
        </is>
      </c>
      <c r="C5" s="11" t="inlineStr">
        <is>
          <t>M5 策略 A (動態突破)</t>
        </is>
      </c>
      <c r="D5" s="11" t="inlineStr">
        <is>
          <t>EURUSD</t>
        </is>
      </c>
      <c r="E5" s="21" t="inlineStr">
        <is>
          <t>1 : 0.85</t>
        </is>
      </c>
      <c r="F5" s="11" t="inlineStr">
        <is>
          <t>同向(正相關)</t>
        </is>
      </c>
      <c r="G5" t="inlineStr">
        <is>
          <t>6 / 24 EMA</t>
        </is>
      </c>
      <c r="H5" t="inlineStr">
        <is>
          <t>SL:100點 / TP:230點</t>
        </is>
      </c>
      <c r="I5" t="inlineStr">
        <is>
          <t>RSI(12, 28/72)</t>
        </is>
      </c>
      <c r="J5" t="inlineStr">
        <is>
          <t>KD(7,3,3)</t>
        </is>
      </c>
      <c r="K5" t="inlineStr">
        <is>
          <t>PSY(10, 18/82)</t>
        </is>
      </c>
      <c r="L5" t="inlineStr">
        <is>
          <t>MACD(10,22,8)</t>
        </is>
      </c>
      <c r="M5" t="inlineStr">
        <is>
          <t>BB(18, 1.9)</t>
        </is>
      </c>
      <c r="N5" t="inlineStr">
        <is>
          <t>Keltner(16, 1.5)</t>
        </is>
      </c>
      <c r="O5" t="inlineStr">
        <is>
          <t>CCI(12, ±130)</t>
        </is>
      </c>
      <c r="P5" s="22" t="n">
        <v>0.742</v>
      </c>
      <c r="Q5" s="23" t="n">
        <v>2.48</v>
      </c>
      <c r="R5" s="24" t="inlineStr">
        <is>
          <t>【強勢多頭】觸發多單進場</t>
        </is>
      </c>
    </row>
    <row r="6">
      <c r="A6" s="11" t="inlineStr">
        <is>
          <t>AUDUSD</t>
        </is>
      </c>
      <c r="B6" s="11" t="inlineStr">
        <is>
          <t>M5</t>
        </is>
      </c>
      <c r="C6" s="11" t="inlineStr">
        <is>
          <t>M5 策略 B (回檔承接)</t>
        </is>
      </c>
      <c r="D6" s="11" t="inlineStr">
        <is>
          <t>NZDUSD</t>
        </is>
      </c>
      <c r="E6" s="21" t="inlineStr">
        <is>
          <t>1 : 0.90</t>
        </is>
      </c>
      <c r="F6" s="11" t="inlineStr">
        <is>
          <t>同向(正相關)</t>
        </is>
      </c>
      <c r="G6" t="inlineStr">
        <is>
          <t>6 / 30 EMA</t>
        </is>
      </c>
      <c r="H6" t="inlineStr">
        <is>
          <t>SL:65點 / TP:160點</t>
        </is>
      </c>
      <c r="I6" t="inlineStr">
        <is>
          <t>RSI(10, 30/70)</t>
        </is>
      </c>
      <c r="J6" t="inlineStr">
        <is>
          <t>KD(7,3,3)</t>
        </is>
      </c>
      <c r="K6" t="inlineStr">
        <is>
          <t>PSY(10, 22/78)</t>
        </is>
      </c>
      <c r="L6" t="inlineStr">
        <is>
          <t>MACD(8,18,6)</t>
        </is>
      </c>
      <c r="M6" t="inlineStr">
        <is>
          <t>BB(16, 1.6)</t>
        </is>
      </c>
      <c r="N6" t="inlineStr">
        <is>
          <t>Keltner(14, 1.2)</t>
        </is>
      </c>
      <c r="O6" t="inlineStr">
        <is>
          <t>CCI(10, ±90)</t>
        </is>
      </c>
      <c r="P6" s="22" t="n">
        <v>0.755</v>
      </c>
      <c r="Q6" s="23" t="n">
        <v>2.39</v>
      </c>
      <c r="R6" s="25" t="inlineStr">
        <is>
          <t>【觀望】指標未達進場門檻</t>
        </is>
      </c>
    </row>
    <row r="7">
      <c r="A7" s="11" t="inlineStr">
        <is>
          <t>AUDUSD</t>
        </is>
      </c>
      <c r="B7" s="11" t="inlineStr">
        <is>
          <t>M5</t>
        </is>
      </c>
      <c r="C7" s="11" t="inlineStr">
        <is>
          <t>M5 策略 A (動態突破)</t>
        </is>
      </c>
      <c r="D7" s="11" t="inlineStr">
        <is>
          <t>NZDUSD</t>
        </is>
      </c>
      <c r="E7" s="21" t="inlineStr">
        <is>
          <t>1 : 0.90</t>
        </is>
      </c>
      <c r="F7" s="11" t="inlineStr">
        <is>
          <t>同向(正相關)</t>
        </is>
      </c>
      <c r="G7" t="inlineStr">
        <is>
          <t>4 / 16 EMA</t>
        </is>
      </c>
      <c r="H7" t="inlineStr">
        <is>
          <t>SL:70點 / TP:150點</t>
        </is>
      </c>
      <c r="I7" t="inlineStr">
        <is>
          <t>RSI(9, 32/68)</t>
        </is>
      </c>
      <c r="J7" t="inlineStr">
        <is>
          <t>KD(5,3,3)</t>
        </is>
      </c>
      <c r="K7" t="inlineStr">
        <is>
          <t>PSY(8, 20/80)</t>
        </is>
      </c>
      <c r="L7" t="inlineStr">
        <is>
          <t>MACD(6,14,5)</t>
        </is>
      </c>
      <c r="M7" t="inlineStr">
        <is>
          <t>BB(14, 1.5)</t>
        </is>
      </c>
      <c r="N7" t="inlineStr">
        <is>
          <t>Keltner(12, 1.0)</t>
        </is>
      </c>
      <c r="O7" t="inlineStr">
        <is>
          <t>CCI(8, ±100)</t>
        </is>
      </c>
      <c r="P7" s="22" t="n">
        <v>0.718</v>
      </c>
      <c r="Q7" s="23" t="n">
        <v>2.25</v>
      </c>
      <c r="R7" s="25" t="inlineStr">
        <is>
          <t>【觀望】指標未達進場門檻</t>
        </is>
      </c>
    </row>
    <row r="8">
      <c r="A8" s="11" t="inlineStr">
        <is>
          <t>USDCAD</t>
        </is>
      </c>
      <c r="B8" s="11" t="inlineStr">
        <is>
          <t>M5</t>
        </is>
      </c>
      <c r="C8" s="11" t="inlineStr">
        <is>
          <t>M5 策略 B (回檔承接)</t>
        </is>
      </c>
      <c r="D8" s="11" t="inlineStr">
        <is>
          <t>USOIL</t>
        </is>
      </c>
      <c r="E8" s="21" t="inlineStr">
        <is>
          <t>1 : 0.50</t>
        </is>
      </c>
      <c r="F8" s="11" t="inlineStr">
        <is>
          <t>反向(負相關)</t>
        </is>
      </c>
      <c r="G8" t="inlineStr">
        <is>
          <t>7 / 35 EMA</t>
        </is>
      </c>
      <c r="H8" t="inlineStr">
        <is>
          <t>SL:70點 / TP:175點</t>
        </is>
      </c>
      <c r="I8" t="inlineStr">
        <is>
          <t>RSI(11, 32/68)</t>
        </is>
      </c>
      <c r="J8" t="inlineStr">
        <is>
          <t>KD(8,3,3)</t>
        </is>
      </c>
      <c r="K8" t="inlineStr">
        <is>
          <t>PSY(10, 20/80)</t>
        </is>
      </c>
      <c r="L8" t="inlineStr">
        <is>
          <t>MACD(9,20,7)</t>
        </is>
      </c>
      <c r="M8" t="inlineStr">
        <is>
          <t>BB(18, 1.8)</t>
        </is>
      </c>
      <c r="N8" t="inlineStr">
        <is>
          <t>Keltner(18, 1.5)</t>
        </is>
      </c>
      <c r="O8" t="inlineStr">
        <is>
          <t>CCI(12, ±100)</t>
        </is>
      </c>
      <c r="P8" s="22" t="n">
        <v>0.762</v>
      </c>
      <c r="Q8" s="23" t="n">
        <v>2.46</v>
      </c>
      <c r="R8" s="25" t="inlineStr">
        <is>
          <t>【觀望】指標未達進場門檻</t>
        </is>
      </c>
    </row>
    <row r="9">
      <c r="A9" s="11" t="inlineStr">
        <is>
          <t>USDCAD</t>
        </is>
      </c>
      <c r="B9" s="11" t="inlineStr">
        <is>
          <t>M5</t>
        </is>
      </c>
      <c r="C9" s="11" t="inlineStr">
        <is>
          <t>M5 策略 A (動態突破)</t>
        </is>
      </c>
      <c r="D9" s="11" t="inlineStr">
        <is>
          <t>USOIL</t>
        </is>
      </c>
      <c r="E9" s="21" t="inlineStr">
        <is>
          <t>1 : 0.50</t>
        </is>
      </c>
      <c r="F9" s="11" t="inlineStr">
        <is>
          <t>反向(負相關)</t>
        </is>
      </c>
      <c r="G9" t="inlineStr">
        <is>
          <t>4 / 18 EMA</t>
        </is>
      </c>
      <c r="H9" t="inlineStr">
        <is>
          <t>SL:75點 / TP:165點</t>
        </is>
      </c>
      <c r="I9" t="inlineStr">
        <is>
          <t>RSI(10, 30/70)</t>
        </is>
      </c>
      <c r="J9" t="inlineStr">
        <is>
          <t>KD(6,3,3)</t>
        </is>
      </c>
      <c r="K9" t="inlineStr">
        <is>
          <t>PSY(8, 22/78)</t>
        </is>
      </c>
      <c r="L9" t="inlineStr">
        <is>
          <t>MACD(8,16,6)</t>
        </is>
      </c>
      <c r="M9" t="inlineStr">
        <is>
          <t>BB(16, 1.7)</t>
        </is>
      </c>
      <c r="N9" t="inlineStr">
        <is>
          <t>Keltner(14, 1.3)</t>
        </is>
      </c>
      <c r="O9" t="inlineStr">
        <is>
          <t>CCI(10, ±110)</t>
        </is>
      </c>
      <c r="P9" s="22" t="n">
        <v>0.725</v>
      </c>
      <c r="Q9" s="23" t="n">
        <v>2.32</v>
      </c>
      <c r="R9" s="25" t="inlineStr">
        <is>
          <t>【觀望】指標未達進場門檻</t>
        </is>
      </c>
    </row>
    <row r="10" ht="38.25" customHeight="1">
      <c r="A10" s="11" t="inlineStr">
        <is>
          <t>USDJPY</t>
        </is>
      </c>
      <c r="B10" s="11" t="inlineStr">
        <is>
          <t>M5</t>
        </is>
      </c>
      <c r="C10" s="11" t="inlineStr">
        <is>
          <t>M5 策略 B (回檔承接)</t>
        </is>
      </c>
      <c r="D10" s="11" t="inlineStr">
        <is>
          <t>XAUUSD</t>
        </is>
      </c>
      <c r="E10" s="21" t="inlineStr">
        <is>
          <t>1 : 0.30</t>
        </is>
      </c>
      <c r="F10" s="11" t="inlineStr">
        <is>
          <t>反向(負相關)</t>
        </is>
      </c>
      <c r="G10" t="inlineStr">
        <is>
          <t>9 / 42 EMA</t>
        </is>
      </c>
      <c r="H10" t="inlineStr">
        <is>
          <t>SL:110點 / TP:290點</t>
        </is>
      </c>
      <c r="I10" t="inlineStr">
        <is>
          <t>RSI(12, 28/72)</t>
        </is>
      </c>
      <c r="J10" t="inlineStr">
        <is>
          <t>KD(10,3,3)</t>
        </is>
      </c>
      <c r="K10" t="inlineStr">
        <is>
          <t>PSY(12, 18/82)</t>
        </is>
      </c>
      <c r="L10" t="inlineStr">
        <is>
          <t>MACD(10,24,8)</t>
        </is>
      </c>
      <c r="M10" t="inlineStr">
        <is>
          <t>BB(20, 2.0)</t>
        </is>
      </c>
      <c r="N10" t="inlineStr">
        <is>
          <t>Keltner(22, 1.8)</t>
        </is>
      </c>
      <c r="O10" t="inlineStr">
        <is>
          <t>CCI(15, ±120)</t>
        </is>
      </c>
      <c r="P10" s="22" t="n">
        <v>0.791</v>
      </c>
      <c r="Q10" s="23" t="n">
        <v>2.75</v>
      </c>
      <c r="R10" s="24" t="inlineStr">
        <is>
          <t>【強勢多頭】觸發多單進場</t>
        </is>
      </c>
    </row>
    <row r="11">
      <c r="A11" s="11" t="inlineStr">
        <is>
          <t>USDJPY</t>
        </is>
      </c>
      <c r="B11" s="11" t="inlineStr">
        <is>
          <t>M5</t>
        </is>
      </c>
      <c r="C11" s="11" t="inlineStr">
        <is>
          <t>M5 策略 A (動態突破)</t>
        </is>
      </c>
      <c r="D11" s="11" t="inlineStr">
        <is>
          <t>XAUUSD</t>
        </is>
      </c>
      <c r="E11" s="21" t="inlineStr">
        <is>
          <t>1 : 0.30</t>
        </is>
      </c>
      <c r="F11" s="11" t="inlineStr">
        <is>
          <t>反向(負相關)</t>
        </is>
      </c>
      <c r="G11" t="inlineStr">
        <is>
          <t>5 / 22 EMA</t>
        </is>
      </c>
      <c r="H11" t="inlineStr">
        <is>
          <t>SL:115點 / TP:270點</t>
        </is>
      </c>
      <c r="I11" t="inlineStr">
        <is>
          <t>RSI(14, 25/75)</t>
        </is>
      </c>
      <c r="J11" t="inlineStr">
        <is>
          <t>KD(8,3,3)</t>
        </is>
      </c>
      <c r="K11" t="inlineStr">
        <is>
          <t>PSY(10, 20/80)</t>
        </is>
      </c>
      <c r="L11" t="inlineStr">
        <is>
          <t>MACD(12,26,9)</t>
        </is>
      </c>
      <c r="M11" t="inlineStr">
        <is>
          <t>BB(20, 2.1)</t>
        </is>
      </c>
      <c r="N11" t="inlineStr">
        <is>
          <t>Keltner(18, 1.6)</t>
        </is>
      </c>
      <c r="O11" t="inlineStr">
        <is>
          <t>CCI(12, ±140)</t>
        </is>
      </c>
      <c r="P11" s="22" t="n">
        <v>0.751</v>
      </c>
      <c r="Q11" s="23" t="n">
        <v>2.53</v>
      </c>
      <c r="R11" s="24" t="inlineStr">
        <is>
          <t>【強勢多頭】觸發多單進場</t>
        </is>
      </c>
    </row>
    <row r="12">
      <c r="A12" s="11" t="inlineStr">
        <is>
          <t>USDCHF</t>
        </is>
      </c>
      <c r="B12" s="11" t="inlineStr">
        <is>
          <t>M5</t>
        </is>
      </c>
      <c r="C12" s="11" t="inlineStr">
        <is>
          <t>M5 策略 B (回檔承接)</t>
        </is>
      </c>
      <c r="D12" s="11" t="inlineStr">
        <is>
          <t>EURUSD</t>
        </is>
      </c>
      <c r="E12" s="21" t="inlineStr">
        <is>
          <t>1 : 1.00</t>
        </is>
      </c>
      <c r="F12" s="11" t="inlineStr">
        <is>
          <t>反向(負相關)</t>
        </is>
      </c>
      <c r="G12" t="inlineStr">
        <is>
          <t>8 / 36 EMA</t>
        </is>
      </c>
      <c r="H12" t="inlineStr">
        <is>
          <t>SL:75點 / TP:185點</t>
        </is>
      </c>
      <c r="I12" t="inlineStr">
        <is>
          <t>RSI(12, 30/70)</t>
        </is>
      </c>
      <c r="J12" t="inlineStr">
        <is>
          <t>KD(8,3,3)</t>
        </is>
      </c>
      <c r="K12" t="inlineStr">
        <is>
          <t>PSY(10, 25/75)</t>
        </is>
      </c>
      <c r="L12" t="inlineStr">
        <is>
          <t>MACD(10,22,8)</t>
        </is>
      </c>
      <c r="M12" t="inlineStr">
        <is>
          <t>BB(18, 1.8)</t>
        </is>
      </c>
      <c r="N12" t="inlineStr">
        <is>
          <t>Keltner(16, 1.5)</t>
        </is>
      </c>
      <c r="O12" t="inlineStr">
        <is>
          <t>CCI(12, ±100)</t>
        </is>
      </c>
      <c r="P12" s="22" t="n">
        <v>0.759</v>
      </c>
      <c r="Q12" s="23" t="n">
        <v>2.44</v>
      </c>
      <c r="R12" s="25" t="inlineStr">
        <is>
          <t>【觀望】指標未達進場門檻</t>
        </is>
      </c>
    </row>
    <row r="13">
      <c r="A13" s="11" t="inlineStr">
        <is>
          <t>USDCHF</t>
        </is>
      </c>
      <c r="B13" s="11" t="inlineStr">
        <is>
          <t>M5</t>
        </is>
      </c>
      <c r="C13" s="11" t="inlineStr">
        <is>
          <t>M5 策略 A (動態突破)</t>
        </is>
      </c>
      <c r="D13" s="11" t="inlineStr">
        <is>
          <t>EURUSD</t>
        </is>
      </c>
      <c r="E13" s="21" t="inlineStr">
        <is>
          <t>1 : 1.00</t>
        </is>
      </c>
      <c r="F13" s="11" t="inlineStr">
        <is>
          <t>反向(負相關)</t>
        </is>
      </c>
      <c r="G13" t="inlineStr">
        <is>
          <t>4 / 18 EMA</t>
        </is>
      </c>
      <c r="H13" t="inlineStr">
        <is>
          <t>SL:80點 / TP:170點</t>
        </is>
      </c>
      <c r="I13" t="inlineStr">
        <is>
          <t>RSI(10, 32/68)</t>
        </is>
      </c>
      <c r="J13" t="inlineStr">
        <is>
          <t>KD(6,3,3)</t>
        </is>
      </c>
      <c r="K13" t="inlineStr">
        <is>
          <t>PSY(8, 20/80)</t>
        </is>
      </c>
      <c r="L13" t="inlineStr">
        <is>
          <t>MACD(8,18,6)</t>
        </is>
      </c>
      <c r="M13" t="inlineStr">
        <is>
          <t>BB(16, 1.7)</t>
        </is>
      </c>
      <c r="N13" t="inlineStr">
        <is>
          <t>Keltner(14, 1.3)</t>
        </is>
      </c>
      <c r="O13" t="inlineStr">
        <is>
          <t>CCI(10, ±110)</t>
        </is>
      </c>
      <c r="P13" s="22" t="n">
        <v>0.721</v>
      </c>
      <c r="Q13" s="23" t="n">
        <v>2.29</v>
      </c>
      <c r="R13" s="25" t="inlineStr">
        <is>
          <t>【觀望】指標未達進場門檻</t>
        </is>
      </c>
    </row>
    <row r="14">
      <c r="A14" s="11" t="inlineStr">
        <is>
          <t>XAUUSD</t>
        </is>
      </c>
      <c r="B14" s="11" t="inlineStr">
        <is>
          <t>M5</t>
        </is>
      </c>
      <c r="C14" s="11" t="inlineStr">
        <is>
          <t>M5 策略 B (回檔承接)</t>
        </is>
      </c>
      <c r="D14" s="11" t="inlineStr">
        <is>
          <t>XAGUSD</t>
        </is>
      </c>
      <c r="E14" s="21" t="inlineStr">
        <is>
          <t>1 : 0.65</t>
        </is>
      </c>
      <c r="F14" s="11" t="inlineStr">
        <is>
          <t>同向(正相關)</t>
        </is>
      </c>
      <c r="G14" t="inlineStr">
        <is>
          <t>12 / 55 EMA</t>
        </is>
      </c>
      <c r="H14" t="inlineStr">
        <is>
          <t>SL:180點 / TP:480點</t>
        </is>
      </c>
      <c r="I14" t="inlineStr">
        <is>
          <t>RSI(14, 20/80)</t>
        </is>
      </c>
      <c r="J14" t="inlineStr">
        <is>
          <t>KD(12,3,3)</t>
        </is>
      </c>
      <c r="K14" t="inlineStr">
        <is>
          <t>PSY(14, 15/85)</t>
        </is>
      </c>
      <c r="L14" t="inlineStr">
        <is>
          <t>MACD(12,28,9)</t>
        </is>
      </c>
      <c r="M14" t="inlineStr">
        <is>
          <t>BB(22, 2.2)</t>
        </is>
      </c>
      <c r="N14" t="inlineStr">
        <is>
          <t>Keltner(25, 2.0)</t>
        </is>
      </c>
      <c r="O14" t="inlineStr">
        <is>
          <t>CCI(18, ±150)</t>
        </is>
      </c>
      <c r="P14" s="22" t="n">
        <v>0.8120000000000001</v>
      </c>
      <c r="Q14" s="23" t="n">
        <v>2.88</v>
      </c>
      <c r="R14" s="24" t="inlineStr">
        <is>
          <t>【強勢多頭】觸發多單進場</t>
        </is>
      </c>
    </row>
    <row r="15">
      <c r="A15" s="11" t="inlineStr">
        <is>
          <t>XAUUSD</t>
        </is>
      </c>
      <c r="B15" s="11" t="inlineStr">
        <is>
          <t>M5</t>
        </is>
      </c>
      <c r="C15" s="11" t="inlineStr">
        <is>
          <t>M5 策略 A (動態突破)</t>
        </is>
      </c>
      <c r="D15" s="11" t="inlineStr">
        <is>
          <t>XAGUSD</t>
        </is>
      </c>
      <c r="E15" s="21" t="inlineStr">
        <is>
          <t>1 : 0.65</t>
        </is>
      </c>
      <c r="F15" s="11" t="inlineStr">
        <is>
          <t>同向(正相關)</t>
        </is>
      </c>
      <c r="G15" t="inlineStr">
        <is>
          <t>6 / 28 EMA</t>
        </is>
      </c>
      <c r="H15" t="inlineStr">
        <is>
          <t>SL:190點 / TP:450點</t>
        </is>
      </c>
      <c r="I15" t="inlineStr">
        <is>
          <t>RSI(14, 22/78)</t>
        </is>
      </c>
      <c r="J15" t="inlineStr">
        <is>
          <t>KD(10,3,3)</t>
        </is>
      </c>
      <c r="K15" t="inlineStr">
        <is>
          <t>PSY(12, 18/82)</t>
        </is>
      </c>
      <c r="L15" t="inlineStr">
        <is>
          <t>MACD(12,26,9)</t>
        </is>
      </c>
      <c r="M15" t="inlineStr">
        <is>
          <t>BB(22, 2.2)</t>
        </is>
      </c>
      <c r="N15" t="inlineStr">
        <is>
          <t>Keltner(20, 1.8)</t>
        </is>
      </c>
      <c r="O15" t="inlineStr">
        <is>
          <t>CCI(15, ±160)</t>
        </is>
      </c>
      <c r="P15" s="22" t="n">
        <v>0.769</v>
      </c>
      <c r="Q15" s="23" t="n">
        <v>2.61</v>
      </c>
      <c r="R15" s="24" t="inlineStr">
        <is>
          <t>【強勢多頭】觸發多單進場</t>
        </is>
      </c>
    </row>
    <row r="16" ht="38.25" customHeight="1">
      <c r="A16" s="11" t="inlineStr">
        <is>
          <t>XAGUSD</t>
        </is>
      </c>
      <c r="B16" s="11" t="inlineStr">
        <is>
          <t>M5</t>
        </is>
      </c>
      <c r="C16" s="11" t="inlineStr">
        <is>
          <t>M5 策略 B (回檔承接)</t>
        </is>
      </c>
      <c r="D16" s="11" t="inlineStr">
        <is>
          <t>XAUUSD</t>
        </is>
      </c>
      <c r="E16" s="21" t="inlineStr">
        <is>
          <t>1 : 1.50</t>
        </is>
      </c>
      <c r="F16" s="11" t="inlineStr">
        <is>
          <t>同向(正相關)</t>
        </is>
      </c>
      <c r="G16" t="inlineStr">
        <is>
          <t>10 / 45 EMA</t>
        </is>
      </c>
      <c r="H16" t="inlineStr">
        <is>
          <t>SL:120點 / TP:310點</t>
        </is>
      </c>
      <c r="I16" t="inlineStr">
        <is>
          <t>RSI(12, 25/75)</t>
        </is>
      </c>
      <c r="J16" t="inlineStr">
        <is>
          <t>KD(10,3,3)</t>
        </is>
      </c>
      <c r="K16" t="inlineStr">
        <is>
          <t>PSY(12, 20/80)</t>
        </is>
      </c>
      <c r="L16" t="inlineStr">
        <is>
          <t>MACD(10,24,8)</t>
        </is>
      </c>
      <c r="M16" t="inlineStr">
        <is>
          <t>BB(20, 2.0)</t>
        </is>
      </c>
      <c r="N16" t="inlineStr">
        <is>
          <t>Keltner(20, 1.8)</t>
        </is>
      </c>
      <c r="O16" t="inlineStr">
        <is>
          <t>CCI(15, ±130)</t>
        </is>
      </c>
      <c r="P16" s="22" t="n">
        <v>0.785</v>
      </c>
      <c r="Q16" s="23" t="n">
        <v>2.71</v>
      </c>
      <c r="R16" s="24" t="inlineStr">
        <is>
          <t>【強勢多頭】觸發多單進場</t>
        </is>
      </c>
    </row>
    <row r="17">
      <c r="A17" s="11" t="inlineStr">
        <is>
          <t>XAGUSD</t>
        </is>
      </c>
      <c r="B17" s="11" t="inlineStr">
        <is>
          <t>M5</t>
        </is>
      </c>
      <c r="C17" s="11" t="inlineStr">
        <is>
          <t>M5 策略 A (動態突破)</t>
        </is>
      </c>
      <c r="D17" s="11" t="inlineStr">
        <is>
          <t>XAUUSD</t>
        </is>
      </c>
      <c r="E17" s="21" t="inlineStr">
        <is>
          <t>1 : 1.50</t>
        </is>
      </c>
      <c r="F17" s="11" t="inlineStr">
        <is>
          <t>同向(正相關)</t>
        </is>
      </c>
      <c r="G17" t="inlineStr">
        <is>
          <t>5 / 22 EMA</t>
        </is>
      </c>
      <c r="H17" t="inlineStr">
        <is>
          <t>SL:125點 / TP:290點</t>
        </is>
      </c>
      <c r="I17" t="inlineStr">
        <is>
          <t>RSI(12, 25/75)</t>
        </is>
      </c>
      <c r="J17" t="inlineStr">
        <is>
          <t>KD(8,3,3)</t>
        </is>
      </c>
      <c r="K17" t="inlineStr">
        <is>
          <t>PSY(10, 22/78)</t>
        </is>
      </c>
      <c r="L17" t="inlineStr">
        <is>
          <t>MACD(10,22,8)</t>
        </is>
      </c>
      <c r="M17" t="inlineStr">
        <is>
          <t>BB(18, 1.9)</t>
        </is>
      </c>
      <c r="N17" t="inlineStr">
        <is>
          <t>Keltner(18, 1.6)</t>
        </is>
      </c>
      <c r="O17" t="inlineStr">
        <is>
          <t>CCI(12, ±140)</t>
        </is>
      </c>
      <c r="P17" s="22" t="n">
        <v>0.738</v>
      </c>
      <c r="Q17" s="23" t="n">
        <v>2.45</v>
      </c>
      <c r="R17" s="24" t="inlineStr">
        <is>
          <t>【強勢多頭】觸發多單進場</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R17"/>
  <sheetViews>
    <sheetView workbookViewId="0">
      <selection activeCell="A1" sqref="A1"/>
    </sheetView>
  </sheetViews>
  <sheetFormatPr baseColWidth="8" defaultRowHeight="15"/>
  <cols>
    <col width="11" customWidth="1" min="1" max="1"/>
    <col width="6.28515625" customWidth="1" min="2" max="2"/>
    <col width="23.42578125" customWidth="1" min="3" max="3"/>
    <col width="11" customWidth="1" min="4" max="4"/>
    <col width="11" customWidth="1" min="5" max="5"/>
    <col width="14.28515625" customWidth="1" min="6" max="6"/>
    <col width="13.5703125" customWidth="1" min="7" max="7"/>
    <col width="20.85546875" customWidth="1" min="8" max="8"/>
    <col width="14.42578125" customWidth="1" min="9" max="9"/>
    <col width="11.42578125" customWidth="1" min="10" max="10"/>
    <col width="15.140625" customWidth="1" min="11" max="11"/>
    <col width="15.85546875" customWidth="1" min="12" max="12"/>
    <col width="11.5703125" customWidth="1" min="13" max="13"/>
    <col width="15.7109375" customWidth="1" min="14" max="14"/>
    <col width="14.140625" customWidth="1" min="15" max="15"/>
    <col width="14.28515625" customWidth="1" min="16" max="16"/>
    <col width="31.5703125" customWidth="1" min="18" max="18"/>
  </cols>
  <sheetData>
    <row r="1">
      <c r="A1" s="19" t="inlineStr">
        <is>
          <t>主力商品</t>
        </is>
      </c>
      <c r="B1" s="19" t="inlineStr">
        <is>
          <t>週期</t>
        </is>
      </c>
      <c r="C1" s="19" t="inlineStr">
        <is>
          <t>策略類別</t>
        </is>
      </c>
      <c r="D1" s="19" t="inlineStr">
        <is>
          <t>對沖商品</t>
        </is>
      </c>
      <c r="E1" s="20" t="inlineStr">
        <is>
          <t>對沖手數</t>
        </is>
      </c>
      <c r="F1" s="19" t="inlineStr">
        <is>
          <t>對沖相關性</t>
        </is>
      </c>
      <c r="G1" s="19" t="inlineStr">
        <is>
          <t>1.EMA均線</t>
        </is>
      </c>
      <c r="H1" s="19" t="inlineStr">
        <is>
          <t>2.ATR SL/TP</t>
        </is>
      </c>
      <c r="I1" s="19" t="inlineStr">
        <is>
          <t>3.RSI門檻</t>
        </is>
      </c>
      <c r="J1" s="19" t="inlineStr">
        <is>
          <t>4.KD門檻</t>
        </is>
      </c>
      <c r="K1" s="19" t="inlineStr">
        <is>
          <t>5.PSY門檻</t>
        </is>
      </c>
      <c r="L1" s="19" t="inlineStr">
        <is>
          <t>6.MACD參數</t>
        </is>
      </c>
      <c r="M1" s="19" t="inlineStr">
        <is>
          <t>7.BB布林</t>
        </is>
      </c>
      <c r="N1" s="19" t="inlineStr">
        <is>
          <t>8.Keltner通道</t>
        </is>
      </c>
      <c r="O1" s="19" t="inlineStr">
        <is>
          <t>9.CCI參數</t>
        </is>
      </c>
      <c r="P1" s="19" t="inlineStr">
        <is>
          <t>10.優化勝率</t>
        </is>
      </c>
      <c r="Q1" s="19" t="inlineStr">
        <is>
          <t>11.夏普比率</t>
        </is>
      </c>
      <c r="R1" s="19" t="inlineStr">
        <is>
          <t>實戰訊號</t>
        </is>
      </c>
    </row>
    <row r="2">
      <c r="A2" s="11" t="inlineStr">
        <is>
          <t>EURUSD</t>
        </is>
      </c>
      <c r="B2" s="11" t="inlineStr">
        <is>
          <t>M5</t>
        </is>
      </c>
      <c r="C2" s="11" t="inlineStr">
        <is>
          <t>M5 策略 B (回檔承接)</t>
        </is>
      </c>
      <c r="D2" s="11" t="inlineStr">
        <is>
          <t>USDCHF</t>
        </is>
      </c>
      <c r="E2" s="21" t="inlineStr">
        <is>
          <t>1 : 1.00</t>
        </is>
      </c>
      <c r="F2" s="11" t="inlineStr">
        <is>
          <t>反向(負相關)</t>
        </is>
      </c>
      <c r="G2" t="inlineStr">
        <is>
          <t>8 / 34 EMA</t>
        </is>
      </c>
      <c r="H2" t="inlineStr">
        <is>
          <t>SL:75點 / TP:195點</t>
        </is>
      </c>
      <c r="I2" t="inlineStr">
        <is>
          <t>RSI(12, 35/65)</t>
        </is>
      </c>
      <c r="J2" t="inlineStr">
        <is>
          <t>KD(8,3,3)</t>
        </is>
      </c>
      <c r="K2" t="inlineStr">
        <is>
          <t>PSY(10, 25/75)</t>
        </is>
      </c>
      <c r="L2" t="inlineStr">
        <is>
          <t>MACD(10,22,8)</t>
        </is>
      </c>
      <c r="M2" t="inlineStr">
        <is>
          <t>BB(18, 1.8)</t>
        </is>
      </c>
      <c r="N2" t="inlineStr">
        <is>
          <t>Keltner(16, 1.5)</t>
        </is>
      </c>
      <c r="O2" t="inlineStr">
        <is>
          <t>CCI(12, ±100)</t>
        </is>
      </c>
      <c r="P2" s="22" t="n">
        <v>0.768</v>
      </c>
      <c r="Q2" s="23" t="n">
        <v>2.52</v>
      </c>
      <c r="R2" s="24" t="n"/>
    </row>
    <row r="3">
      <c r="A3" s="11" t="inlineStr">
        <is>
          <t>EURUSD</t>
        </is>
      </c>
      <c r="B3" s="11" t="inlineStr">
        <is>
          <t>M5</t>
        </is>
      </c>
      <c r="C3" s="11" t="inlineStr">
        <is>
          <t>M5 策略 A (動態突破)</t>
        </is>
      </c>
      <c r="D3" s="11" t="inlineStr">
        <is>
          <t>USDCHF</t>
        </is>
      </c>
      <c r="E3" s="21" t="inlineStr">
        <is>
          <t>1 : 1.00</t>
        </is>
      </c>
      <c r="F3" s="11" t="inlineStr">
        <is>
          <t>反向(負相關)</t>
        </is>
      </c>
      <c r="G3" t="inlineStr">
        <is>
          <t>5 / 20 EMA</t>
        </is>
      </c>
      <c r="H3" t="inlineStr">
        <is>
          <t>SL:80點 / TP:180點</t>
        </is>
      </c>
      <c r="I3" t="inlineStr">
        <is>
          <t>RSI(10, 30/70)</t>
        </is>
      </c>
      <c r="J3" t="inlineStr">
        <is>
          <t>KD(6,3,3)</t>
        </is>
      </c>
      <c r="K3" t="inlineStr">
        <is>
          <t>PSY(8, 20/80)</t>
        </is>
      </c>
      <c r="L3" t="inlineStr">
        <is>
          <t>MACD(8,18,6)</t>
        </is>
      </c>
      <c r="M3" t="inlineStr">
        <is>
          <t>BB(16, 1.8)</t>
        </is>
      </c>
      <c r="N3" t="inlineStr">
        <is>
          <t>Keltner(14, 1.2)</t>
        </is>
      </c>
      <c r="O3" t="inlineStr">
        <is>
          <t>CCI(10, ±120)</t>
        </is>
      </c>
      <c r="P3" s="22" t="n">
        <v>0.731</v>
      </c>
      <c r="Q3" s="23" t="n">
        <v>2.41</v>
      </c>
      <c r="R3" s="24" t="n"/>
    </row>
    <row r="4">
      <c r="A4" s="11" t="inlineStr">
        <is>
          <t>GBPUSD</t>
        </is>
      </c>
      <c r="B4" s="11" t="inlineStr">
        <is>
          <t>M5</t>
        </is>
      </c>
      <c r="C4" s="11" t="inlineStr">
        <is>
          <t>M5 策略 B (回檔承接)</t>
        </is>
      </c>
      <c r="D4" s="11" t="inlineStr">
        <is>
          <t>EURUSD</t>
        </is>
      </c>
      <c r="E4" s="21" t="inlineStr">
        <is>
          <t>1 : 0.85</t>
        </is>
      </c>
      <c r="F4" s="11" t="inlineStr">
        <is>
          <t>同向(正相關)</t>
        </is>
      </c>
      <c r="G4" t="inlineStr">
        <is>
          <t>10 / 48 EMA</t>
        </is>
      </c>
      <c r="H4" t="inlineStr">
        <is>
          <t>SL:95點 / TP:250點</t>
        </is>
      </c>
      <c r="I4" t="inlineStr">
        <is>
          <t>RSI(14, 32/68)</t>
        </is>
      </c>
      <c r="J4" t="inlineStr">
        <is>
          <t>KD(9,3,3)</t>
        </is>
      </c>
      <c r="K4" t="inlineStr">
        <is>
          <t>PSY(12, 20/80)</t>
        </is>
      </c>
      <c r="L4" t="inlineStr">
        <is>
          <t>MACD(12,26,9)</t>
        </is>
      </c>
      <c r="M4" t="inlineStr">
        <is>
          <t>BB(20, 2.0)</t>
        </is>
      </c>
      <c r="N4" t="inlineStr">
        <is>
          <t>Keltner(20, 1.8)</t>
        </is>
      </c>
      <c r="O4" t="inlineStr">
        <is>
          <t>CCI(14, ±110)</t>
        </is>
      </c>
      <c r="P4" s="22" t="n">
        <v>0.784</v>
      </c>
      <c r="Q4" s="23" t="n">
        <v>2.68</v>
      </c>
      <c r="R4" s="24" t="n"/>
    </row>
    <row r="5">
      <c r="A5" s="11" t="inlineStr">
        <is>
          <t>GBPUSD</t>
        </is>
      </c>
      <c r="B5" s="11" t="inlineStr">
        <is>
          <t>M5</t>
        </is>
      </c>
      <c r="C5" s="11" t="inlineStr">
        <is>
          <t>M5 策略 A (動態突破)</t>
        </is>
      </c>
      <c r="D5" s="11" t="inlineStr">
        <is>
          <t>EURUSD</t>
        </is>
      </c>
      <c r="E5" s="21" t="inlineStr">
        <is>
          <t>1 : 0.85</t>
        </is>
      </c>
      <c r="F5" s="11" t="inlineStr">
        <is>
          <t>同向(正相關)</t>
        </is>
      </c>
      <c r="G5" t="inlineStr">
        <is>
          <t>6 / 24 EMA</t>
        </is>
      </c>
      <c r="H5" t="inlineStr">
        <is>
          <t>SL:100點 / TP:230點</t>
        </is>
      </c>
      <c r="I5" t="inlineStr">
        <is>
          <t>RSI(12, 28/72)</t>
        </is>
      </c>
      <c r="J5" t="inlineStr">
        <is>
          <t>KD(7,3,3)</t>
        </is>
      </c>
      <c r="K5" t="inlineStr">
        <is>
          <t>PSY(10, 18/82)</t>
        </is>
      </c>
      <c r="L5" t="inlineStr">
        <is>
          <t>MACD(10,22,8)</t>
        </is>
      </c>
      <c r="M5" t="inlineStr">
        <is>
          <t>BB(18, 1.9)</t>
        </is>
      </c>
      <c r="N5" t="inlineStr">
        <is>
          <t>Keltner(16, 1.5)</t>
        </is>
      </c>
      <c r="O5" t="inlineStr">
        <is>
          <t>CCI(12, ±130)</t>
        </is>
      </c>
      <c r="P5" s="22" t="n">
        <v>0.742</v>
      </c>
      <c r="Q5" s="23" t="n">
        <v>2.48</v>
      </c>
      <c r="R5" s="24" t="n"/>
    </row>
    <row r="6">
      <c r="A6" s="11" t="inlineStr">
        <is>
          <t>AUDUSD</t>
        </is>
      </c>
      <c r="B6" s="11" t="inlineStr">
        <is>
          <t>M5</t>
        </is>
      </c>
      <c r="C6" s="11" t="inlineStr">
        <is>
          <t>M5 策略 B (回檔承接)</t>
        </is>
      </c>
      <c r="D6" s="11" t="inlineStr">
        <is>
          <t>NZDUSD</t>
        </is>
      </c>
      <c r="E6" s="21" t="inlineStr">
        <is>
          <t>1 : 0.90</t>
        </is>
      </c>
      <c r="F6" s="11" t="inlineStr">
        <is>
          <t>同向(正相關)</t>
        </is>
      </c>
      <c r="G6" t="inlineStr">
        <is>
          <t>6 / 30 EMA</t>
        </is>
      </c>
      <c r="H6" t="inlineStr">
        <is>
          <t>SL:65點 / TP:160點</t>
        </is>
      </c>
      <c r="I6" t="inlineStr">
        <is>
          <t>RSI(10, 30/70)</t>
        </is>
      </c>
      <c r="J6" t="inlineStr">
        <is>
          <t>KD(7,3,3)</t>
        </is>
      </c>
      <c r="K6" t="inlineStr">
        <is>
          <t>PSY(10, 22/78)</t>
        </is>
      </c>
      <c r="L6" t="inlineStr">
        <is>
          <t>MACD(8,18,6)</t>
        </is>
      </c>
      <c r="M6" t="inlineStr">
        <is>
          <t>BB(16, 1.6)</t>
        </is>
      </c>
      <c r="N6" t="inlineStr">
        <is>
          <t>Keltner(14, 1.2)</t>
        </is>
      </c>
      <c r="O6" t="inlineStr">
        <is>
          <t>CCI(10, ±90)</t>
        </is>
      </c>
      <c r="P6" s="22" t="n">
        <v>0.755</v>
      </c>
      <c r="Q6" s="23" t="n">
        <v>2.39</v>
      </c>
      <c r="R6" s="24" t="n"/>
    </row>
    <row r="7">
      <c r="A7" s="11" t="inlineStr">
        <is>
          <t>AUDUSD</t>
        </is>
      </c>
      <c r="B7" s="11" t="inlineStr">
        <is>
          <t>M5</t>
        </is>
      </c>
      <c r="C7" s="11" t="inlineStr">
        <is>
          <t>M5 策略 A (動態突破)</t>
        </is>
      </c>
      <c r="D7" s="11" t="inlineStr">
        <is>
          <t>NZDUSD</t>
        </is>
      </c>
      <c r="E7" s="21" t="inlineStr">
        <is>
          <t>1 : 0.90</t>
        </is>
      </c>
      <c r="F7" s="11" t="inlineStr">
        <is>
          <t>同向(正相關)</t>
        </is>
      </c>
      <c r="G7" t="inlineStr">
        <is>
          <t>4 / 16 EMA</t>
        </is>
      </c>
      <c r="H7" t="inlineStr">
        <is>
          <t>SL:70點 / TP:150點</t>
        </is>
      </c>
      <c r="I7" t="inlineStr">
        <is>
          <t>RSI(9, 32/68)</t>
        </is>
      </c>
      <c r="J7" t="inlineStr">
        <is>
          <t>KD(5,3,3)</t>
        </is>
      </c>
      <c r="K7" t="inlineStr">
        <is>
          <t>PSY(8, 20/80)</t>
        </is>
      </c>
      <c r="L7" t="inlineStr">
        <is>
          <t>MACD(6,14,5)</t>
        </is>
      </c>
      <c r="M7" t="inlineStr">
        <is>
          <t>BB(14, 1.5)</t>
        </is>
      </c>
      <c r="N7" t="inlineStr">
        <is>
          <t>Keltner(12, 1.0)</t>
        </is>
      </c>
      <c r="O7" t="inlineStr">
        <is>
          <t>CCI(8, ±100)</t>
        </is>
      </c>
      <c r="P7" s="22" t="n">
        <v>0.718</v>
      </c>
      <c r="Q7" s="23" t="n">
        <v>2.25</v>
      </c>
      <c r="R7" s="24" t="n"/>
    </row>
    <row r="8">
      <c r="A8" s="11" t="inlineStr">
        <is>
          <t>USDCAD</t>
        </is>
      </c>
      <c r="B8" s="11" t="inlineStr">
        <is>
          <t>M5</t>
        </is>
      </c>
      <c r="C8" s="11" t="inlineStr">
        <is>
          <t>M5 策略 B (回檔承接)</t>
        </is>
      </c>
      <c r="D8" s="11" t="inlineStr">
        <is>
          <t>USOIL</t>
        </is>
      </c>
      <c r="E8" s="21" t="inlineStr">
        <is>
          <t>1 : 0.50</t>
        </is>
      </c>
      <c r="F8" s="11" t="inlineStr">
        <is>
          <t>反向(負相關)</t>
        </is>
      </c>
      <c r="G8" t="inlineStr">
        <is>
          <t>7 / 35 EMA</t>
        </is>
      </c>
      <c r="H8" t="inlineStr">
        <is>
          <t>SL:70點 / TP:175點</t>
        </is>
      </c>
      <c r="I8" t="inlineStr">
        <is>
          <t>RSI(11, 32/68)</t>
        </is>
      </c>
      <c r="J8" t="inlineStr">
        <is>
          <t>KD(8,3,3)</t>
        </is>
      </c>
      <c r="K8" t="inlineStr">
        <is>
          <t>PSY(10, 20/80)</t>
        </is>
      </c>
      <c r="L8" t="inlineStr">
        <is>
          <t>MACD(9,20,7)</t>
        </is>
      </c>
      <c r="M8" t="inlineStr">
        <is>
          <t>BB(18, 1.8)</t>
        </is>
      </c>
      <c r="N8" t="inlineStr">
        <is>
          <t>Keltner(18, 1.5)</t>
        </is>
      </c>
      <c r="O8" t="inlineStr">
        <is>
          <t>CCI(12, ±100)</t>
        </is>
      </c>
      <c r="P8" s="22" t="n">
        <v>0.762</v>
      </c>
      <c r="Q8" s="23" t="n">
        <v>2.46</v>
      </c>
      <c r="R8" s="24" t="n"/>
    </row>
    <row r="9">
      <c r="A9" s="11" t="inlineStr">
        <is>
          <t>USDCAD</t>
        </is>
      </c>
      <c r="B9" s="11" t="inlineStr">
        <is>
          <t>M5</t>
        </is>
      </c>
      <c r="C9" s="11" t="inlineStr">
        <is>
          <t>M5 策略 A (動態突破)</t>
        </is>
      </c>
      <c r="D9" s="11" t="inlineStr">
        <is>
          <t>USOIL</t>
        </is>
      </c>
      <c r="E9" s="21" t="inlineStr">
        <is>
          <t>1 : 0.50</t>
        </is>
      </c>
      <c r="F9" s="11" t="inlineStr">
        <is>
          <t>反向(負相關)</t>
        </is>
      </c>
      <c r="G9" t="inlineStr">
        <is>
          <t>4 / 18 EMA</t>
        </is>
      </c>
      <c r="H9" t="inlineStr">
        <is>
          <t>SL:75點 / TP:165點</t>
        </is>
      </c>
      <c r="I9" t="inlineStr">
        <is>
          <t>RSI(10, 30/70)</t>
        </is>
      </c>
      <c r="J9" t="inlineStr">
        <is>
          <t>KD(6,3,3)</t>
        </is>
      </c>
      <c r="K9" t="inlineStr">
        <is>
          <t>PSY(8, 22/78)</t>
        </is>
      </c>
      <c r="L9" t="inlineStr">
        <is>
          <t>MACD(8,16,6)</t>
        </is>
      </c>
      <c r="M9" t="inlineStr">
        <is>
          <t>BB(16, 1.7)</t>
        </is>
      </c>
      <c r="N9" t="inlineStr">
        <is>
          <t>Keltner(14, 1.3)</t>
        </is>
      </c>
      <c r="O9" t="inlineStr">
        <is>
          <t>CCI(10, ±110)</t>
        </is>
      </c>
      <c r="P9" s="22" t="n">
        <v>0.725</v>
      </c>
      <c r="Q9" s="23" t="n">
        <v>2.32</v>
      </c>
      <c r="R9" s="24" t="n"/>
    </row>
    <row r="10">
      <c r="A10" s="11" t="inlineStr">
        <is>
          <t>USDJPY</t>
        </is>
      </c>
      <c r="B10" s="11" t="inlineStr">
        <is>
          <t>M5</t>
        </is>
      </c>
      <c r="C10" s="11" t="inlineStr">
        <is>
          <t>M5 策略 B (回檔承接)</t>
        </is>
      </c>
      <c r="D10" s="11" t="inlineStr">
        <is>
          <t>XAUUSD</t>
        </is>
      </c>
      <c r="E10" s="21" t="inlineStr">
        <is>
          <t>1 : 0.30</t>
        </is>
      </c>
      <c r="F10" s="11" t="inlineStr">
        <is>
          <t>反向(負相關)</t>
        </is>
      </c>
      <c r="G10" t="inlineStr">
        <is>
          <t>9 / 42 EMA</t>
        </is>
      </c>
      <c r="H10" t="inlineStr">
        <is>
          <t>SL:110點 / TP:290點</t>
        </is>
      </c>
      <c r="I10" t="inlineStr">
        <is>
          <t>RSI(12, 28/72)</t>
        </is>
      </c>
      <c r="J10" t="inlineStr">
        <is>
          <t>KD(10,3,3)</t>
        </is>
      </c>
      <c r="K10" t="inlineStr">
        <is>
          <t>PSY(12, 18/82)</t>
        </is>
      </c>
      <c r="L10" t="inlineStr">
        <is>
          <t>MACD(10,24,8)</t>
        </is>
      </c>
      <c r="M10" t="inlineStr">
        <is>
          <t>BB(20, 2.0)</t>
        </is>
      </c>
      <c r="N10" t="inlineStr">
        <is>
          <t>Keltner(22, 1.8)</t>
        </is>
      </c>
      <c r="O10" t="inlineStr">
        <is>
          <t>CCI(15, ±120)</t>
        </is>
      </c>
      <c r="P10" s="22" t="n">
        <v>0.791</v>
      </c>
      <c r="Q10" s="23" t="n">
        <v>2.75</v>
      </c>
      <c r="R10" s="24" t="n"/>
    </row>
    <row r="11">
      <c r="A11" s="11" t="inlineStr">
        <is>
          <t>USDJPY</t>
        </is>
      </c>
      <c r="B11" s="11" t="inlineStr">
        <is>
          <t>M5</t>
        </is>
      </c>
      <c r="C11" s="11" t="inlineStr">
        <is>
          <t>M5 策略 A (動態突破)</t>
        </is>
      </c>
      <c r="D11" s="11" t="inlineStr">
        <is>
          <t>XAUUSD</t>
        </is>
      </c>
      <c r="E11" s="21" t="inlineStr">
        <is>
          <t>1 : 0.30</t>
        </is>
      </c>
      <c r="F11" s="11" t="inlineStr">
        <is>
          <t>反向(負相關)</t>
        </is>
      </c>
      <c r="G11" t="inlineStr">
        <is>
          <t>5 / 22 EMA</t>
        </is>
      </c>
      <c r="H11" t="inlineStr">
        <is>
          <t>SL:115點 / TP:270點</t>
        </is>
      </c>
      <c r="I11" t="inlineStr">
        <is>
          <t>RSI(14, 25/75)</t>
        </is>
      </c>
      <c r="J11" t="inlineStr">
        <is>
          <t>KD(8,3,3)</t>
        </is>
      </c>
      <c r="K11" t="inlineStr">
        <is>
          <t>PSY(10, 20/80)</t>
        </is>
      </c>
      <c r="L11" t="inlineStr">
        <is>
          <t>MACD(12,26,9)</t>
        </is>
      </c>
      <c r="M11" t="inlineStr">
        <is>
          <t>BB(20, 2.1)</t>
        </is>
      </c>
      <c r="N11" t="inlineStr">
        <is>
          <t>Keltner(18, 1.6)</t>
        </is>
      </c>
      <c r="O11" t="inlineStr">
        <is>
          <t>CCI(12, ±140)</t>
        </is>
      </c>
      <c r="P11" s="22" t="n">
        <v>0.751</v>
      </c>
      <c r="Q11" s="23" t="n">
        <v>2.53</v>
      </c>
      <c r="R11" s="24" t="n"/>
    </row>
    <row r="12">
      <c r="A12" s="11" t="inlineStr">
        <is>
          <t>USDCHF</t>
        </is>
      </c>
      <c r="B12" s="11" t="inlineStr">
        <is>
          <t>M5</t>
        </is>
      </c>
      <c r="C12" s="11" t="inlineStr">
        <is>
          <t>M5 策略 B (回檔承接)</t>
        </is>
      </c>
      <c r="D12" s="11" t="inlineStr">
        <is>
          <t>EURUSD</t>
        </is>
      </c>
      <c r="E12" s="21" t="inlineStr">
        <is>
          <t>1 : 1.00</t>
        </is>
      </c>
      <c r="F12" s="11" t="inlineStr">
        <is>
          <t>反向(負相關)</t>
        </is>
      </c>
      <c r="G12" t="inlineStr">
        <is>
          <t>8 / 36 EMA</t>
        </is>
      </c>
      <c r="H12" t="inlineStr">
        <is>
          <t>SL:75點 / TP:185點</t>
        </is>
      </c>
      <c r="I12" t="inlineStr">
        <is>
          <t>RSI(12, 30/70)</t>
        </is>
      </c>
      <c r="J12" t="inlineStr">
        <is>
          <t>KD(8,3,3)</t>
        </is>
      </c>
      <c r="K12" t="inlineStr">
        <is>
          <t>PSY(10, 25/75)</t>
        </is>
      </c>
      <c r="L12" t="inlineStr">
        <is>
          <t>MACD(10,22,8)</t>
        </is>
      </c>
      <c r="M12" t="inlineStr">
        <is>
          <t>BB(18, 1.8)</t>
        </is>
      </c>
      <c r="N12" t="inlineStr">
        <is>
          <t>Keltner(16, 1.5)</t>
        </is>
      </c>
      <c r="O12" t="inlineStr">
        <is>
          <t>CCI(12, ±100)</t>
        </is>
      </c>
      <c r="P12" s="22" t="n">
        <v>0.759</v>
      </c>
      <c r="Q12" s="23" t="n">
        <v>2.44</v>
      </c>
      <c r="R12" s="24" t="n"/>
    </row>
    <row r="13">
      <c r="A13" s="11" t="inlineStr">
        <is>
          <t>USDCHF</t>
        </is>
      </c>
      <c r="B13" s="11" t="inlineStr">
        <is>
          <t>M5</t>
        </is>
      </c>
      <c r="C13" s="11" t="inlineStr">
        <is>
          <t>M5 策略 A (動態突破)</t>
        </is>
      </c>
      <c r="D13" s="11" t="inlineStr">
        <is>
          <t>EURUSD</t>
        </is>
      </c>
      <c r="E13" s="21" t="inlineStr">
        <is>
          <t>1 : 1.00</t>
        </is>
      </c>
      <c r="F13" s="11" t="inlineStr">
        <is>
          <t>反向(負相關)</t>
        </is>
      </c>
      <c r="G13" t="inlineStr">
        <is>
          <t>4 / 18 EMA</t>
        </is>
      </c>
      <c r="H13" t="inlineStr">
        <is>
          <t>SL:80點 / TP:170點</t>
        </is>
      </c>
      <c r="I13" t="inlineStr">
        <is>
          <t>RSI(10, 32/68)</t>
        </is>
      </c>
      <c r="J13" t="inlineStr">
        <is>
          <t>KD(6,3,3)</t>
        </is>
      </c>
      <c r="K13" t="inlineStr">
        <is>
          <t>PSY(8, 20/80)</t>
        </is>
      </c>
      <c r="L13" t="inlineStr">
        <is>
          <t>MACD(8,18,6)</t>
        </is>
      </c>
      <c r="M13" t="inlineStr">
        <is>
          <t>BB(16, 1.7)</t>
        </is>
      </c>
      <c r="N13" t="inlineStr">
        <is>
          <t>Keltner(14, 1.3)</t>
        </is>
      </c>
      <c r="O13" t="inlineStr">
        <is>
          <t>CCI(10, ±110)</t>
        </is>
      </c>
      <c r="P13" s="22" t="n">
        <v>0.721</v>
      </c>
      <c r="Q13" s="23" t="n">
        <v>2.29</v>
      </c>
      <c r="R13" s="24" t="n"/>
    </row>
    <row r="14">
      <c r="A14" s="11" t="inlineStr">
        <is>
          <t>XAUUSD</t>
        </is>
      </c>
      <c r="B14" s="11" t="inlineStr">
        <is>
          <t>M5</t>
        </is>
      </c>
      <c r="C14" s="11" t="inlineStr">
        <is>
          <t>M5 策略 B (回檔承接)</t>
        </is>
      </c>
      <c r="D14" s="11" t="inlineStr">
        <is>
          <t>XAGUSD</t>
        </is>
      </c>
      <c r="E14" s="21" t="inlineStr">
        <is>
          <t>1 : 0.65</t>
        </is>
      </c>
      <c r="F14" s="11" t="inlineStr">
        <is>
          <t>同向(正相關)</t>
        </is>
      </c>
      <c r="G14" t="inlineStr">
        <is>
          <t>12 / 55 EMA</t>
        </is>
      </c>
      <c r="H14" t="inlineStr">
        <is>
          <t>SL:180點 / TP:480點</t>
        </is>
      </c>
      <c r="I14" t="inlineStr">
        <is>
          <t>RSI(14, 20/80)</t>
        </is>
      </c>
      <c r="J14" t="inlineStr">
        <is>
          <t>KD(12,3,3)</t>
        </is>
      </c>
      <c r="K14" t="inlineStr">
        <is>
          <t>PSY(14, 15/85)</t>
        </is>
      </c>
      <c r="L14" t="inlineStr">
        <is>
          <t>MACD(12,28,9)</t>
        </is>
      </c>
      <c r="M14" t="inlineStr">
        <is>
          <t>BB(22, 2.2)</t>
        </is>
      </c>
      <c r="N14" t="inlineStr">
        <is>
          <t>Keltner(25, 2.0)</t>
        </is>
      </c>
      <c r="O14" t="inlineStr">
        <is>
          <t>CCI(18, ±150)</t>
        </is>
      </c>
      <c r="P14" s="22" t="n">
        <v>0.8120000000000001</v>
      </c>
      <c r="Q14" s="23" t="n">
        <v>2.88</v>
      </c>
      <c r="R14" s="24" t="n"/>
    </row>
    <row r="15">
      <c r="A15" s="11" t="inlineStr">
        <is>
          <t>XAUUSD</t>
        </is>
      </c>
      <c r="B15" s="11" t="inlineStr">
        <is>
          <t>M5</t>
        </is>
      </c>
      <c r="C15" s="11" t="inlineStr">
        <is>
          <t>M5 策略 A (動態突破)</t>
        </is>
      </c>
      <c r="D15" s="11" t="inlineStr">
        <is>
          <t>XAGUSD</t>
        </is>
      </c>
      <c r="E15" s="21" t="inlineStr">
        <is>
          <t>1 : 0.65</t>
        </is>
      </c>
      <c r="F15" s="11" t="inlineStr">
        <is>
          <t>同向(正相關)</t>
        </is>
      </c>
      <c r="G15" t="inlineStr">
        <is>
          <t>6 / 28 EMA</t>
        </is>
      </c>
      <c r="H15" t="inlineStr">
        <is>
          <t>SL:190點 / TP:450點</t>
        </is>
      </c>
      <c r="I15" t="inlineStr">
        <is>
          <t>RSI(14, 22/78)</t>
        </is>
      </c>
      <c r="J15" t="inlineStr">
        <is>
          <t>KD(10,3,3)</t>
        </is>
      </c>
      <c r="K15" t="inlineStr">
        <is>
          <t>PSY(12, 18/82)</t>
        </is>
      </c>
      <c r="L15" t="inlineStr">
        <is>
          <t>MACD(12,26,9)</t>
        </is>
      </c>
      <c r="M15" t="inlineStr">
        <is>
          <t>BB(22, 2.2)</t>
        </is>
      </c>
      <c r="N15" t="inlineStr">
        <is>
          <t>Keltner(20, 1.8)</t>
        </is>
      </c>
      <c r="O15" t="inlineStr">
        <is>
          <t>CCI(15, ±160)</t>
        </is>
      </c>
      <c r="P15" s="22" t="n">
        <v>0.769</v>
      </c>
      <c r="Q15" s="23" t="n">
        <v>2.61</v>
      </c>
      <c r="R15" s="24" t="n"/>
    </row>
    <row r="16">
      <c r="A16" s="11" t="inlineStr">
        <is>
          <t>XAGUSD</t>
        </is>
      </c>
      <c r="B16" s="11" t="inlineStr">
        <is>
          <t>M5</t>
        </is>
      </c>
      <c r="C16" s="11" t="inlineStr">
        <is>
          <t>M5 策略 B (回檔承接)</t>
        </is>
      </c>
      <c r="D16" s="11" t="inlineStr">
        <is>
          <t>XAUUSD</t>
        </is>
      </c>
      <c r="E16" s="21" t="inlineStr">
        <is>
          <t>1 : 1.50</t>
        </is>
      </c>
      <c r="F16" s="11" t="inlineStr">
        <is>
          <t>同向(正相關)</t>
        </is>
      </c>
      <c r="G16" t="inlineStr">
        <is>
          <t>10 / 45 EMA</t>
        </is>
      </c>
      <c r="H16" t="inlineStr">
        <is>
          <t>SL:120點 / TP:310點</t>
        </is>
      </c>
      <c r="I16" t="inlineStr">
        <is>
          <t>RSI(12, 25/75)</t>
        </is>
      </c>
      <c r="J16" t="inlineStr">
        <is>
          <t>KD(10,3,3)</t>
        </is>
      </c>
      <c r="K16" t="inlineStr">
        <is>
          <t>PSY(12, 20/80)</t>
        </is>
      </c>
      <c r="L16" t="inlineStr">
        <is>
          <t>MACD(10,24,8)</t>
        </is>
      </c>
      <c r="M16" t="inlineStr">
        <is>
          <t>BB(20, 2.0)</t>
        </is>
      </c>
      <c r="N16" t="inlineStr">
        <is>
          <t>Keltner(20, 1.8)</t>
        </is>
      </c>
      <c r="O16" t="inlineStr">
        <is>
          <t>CCI(15, ±130)</t>
        </is>
      </c>
      <c r="P16" s="22" t="n">
        <v>0.785</v>
      </c>
      <c r="Q16" s="23" t="n">
        <v>2.71</v>
      </c>
      <c r="R16" s="24" t="n"/>
    </row>
    <row r="17">
      <c r="A17" s="11" t="inlineStr">
        <is>
          <t>XAGUSD</t>
        </is>
      </c>
      <c r="B17" s="11" t="inlineStr">
        <is>
          <t>M5</t>
        </is>
      </c>
      <c r="C17" s="11" t="inlineStr">
        <is>
          <t>M5 策略 A (動態突破)</t>
        </is>
      </c>
      <c r="D17" s="11" t="inlineStr">
        <is>
          <t>XAUUSD</t>
        </is>
      </c>
      <c r="E17" s="21" t="inlineStr">
        <is>
          <t>1 : 1.50</t>
        </is>
      </c>
      <c r="F17" s="11" t="inlineStr">
        <is>
          <t>同向(正相關)</t>
        </is>
      </c>
      <c r="G17" t="inlineStr">
        <is>
          <t>5 / 22 EMA</t>
        </is>
      </c>
      <c r="H17" t="inlineStr">
        <is>
          <t>SL:125點 / TP:290點</t>
        </is>
      </c>
      <c r="I17" t="inlineStr">
        <is>
          <t>RSI(12, 25/75)</t>
        </is>
      </c>
      <c r="J17" t="inlineStr">
        <is>
          <t>KD(8,3,3)</t>
        </is>
      </c>
      <c r="K17" t="inlineStr">
        <is>
          <t>PSY(10, 22/78)</t>
        </is>
      </c>
      <c r="L17" t="inlineStr">
        <is>
          <t>MACD(10,22,8)</t>
        </is>
      </c>
      <c r="M17" t="inlineStr">
        <is>
          <t>BB(18, 1.9)</t>
        </is>
      </c>
      <c r="N17" t="inlineStr">
        <is>
          <t>Keltner(18, 1.6)</t>
        </is>
      </c>
      <c r="O17" t="inlineStr">
        <is>
          <t>CCI(12, ±140)</t>
        </is>
      </c>
      <c r="P17" s="22" t="n">
        <v>0.738</v>
      </c>
      <c r="Q17" s="23" t="n">
        <v>2.45</v>
      </c>
      <c r="R17" s="24" t="n"/>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S7"/>
  <sheetViews>
    <sheetView workbookViewId="0">
      <selection activeCell="A1" sqref="A1"/>
    </sheetView>
  </sheetViews>
  <sheetFormatPr baseColWidth="8" defaultRowHeight="15"/>
  <cols>
    <col width="35" customWidth="1" min="1" max="1"/>
    <col width="15" customWidth="1" min="2" max="2"/>
  </cols>
  <sheetData>
    <row r="1">
      <c r="A1" s="26" t="inlineStr">
        <is>
          <t>【M5 雙策略與多週期 11大指標及 110點SL 規則設定】</t>
        </is>
      </c>
    </row>
    <row r="2">
      <c r="A2" s="27" t="inlineStr">
        <is>
          <t>商品 (Symbol)</t>
        </is>
      </c>
      <c r="B2" s="27" t="inlineStr">
        <is>
          <t>週期/策略</t>
        </is>
      </c>
      <c r="C2" s="27" t="inlineStr">
        <is>
          <t>最佳 SL</t>
        </is>
      </c>
      <c r="D2" s="27" t="inlineStr">
        <is>
          <t>最佳 TP</t>
        </is>
      </c>
      <c r="E2" s="27" t="inlineStr">
        <is>
          <t>短均線</t>
        </is>
      </c>
      <c r="F2" s="27" t="inlineStr">
        <is>
          <t>長均線</t>
        </is>
      </c>
      <c r="G2" s="27" t="inlineStr">
        <is>
          <t>RSI K數</t>
        </is>
      </c>
      <c r="H2" s="27" t="inlineStr">
        <is>
          <t>RSI下限</t>
        </is>
      </c>
      <c r="I2" s="27" t="inlineStr">
        <is>
          <t>RSI上限</t>
        </is>
      </c>
      <c r="J2" s="27" t="inlineStr">
        <is>
          <t>KD(K/D/平滑)</t>
        </is>
      </c>
      <c r="K2" s="27" t="inlineStr">
        <is>
          <t>PSY K數</t>
        </is>
      </c>
      <c r="L2" s="27" t="inlineStr">
        <is>
          <t>PSY上下限</t>
        </is>
      </c>
      <c r="M2" s="27" t="inlineStr">
        <is>
          <t>威廉 %R</t>
        </is>
      </c>
      <c r="N2" s="27" t="inlineStr">
        <is>
          <t>MTM K數</t>
        </is>
      </c>
      <c r="O2" s="27" t="inlineStr">
        <is>
          <t>MACD(快/慢/訊)</t>
        </is>
      </c>
      <c r="P2" s="27" t="inlineStr">
        <is>
          <t>布林(天/倍)</t>
        </is>
      </c>
      <c r="Q2" s="27" t="inlineStr">
        <is>
          <t>CCI K數</t>
        </is>
      </c>
      <c r="R2" s="27" t="inlineStr">
        <is>
          <t>Abbreation</t>
        </is>
      </c>
      <c r="S2" s="27" t="inlineStr">
        <is>
          <t>Keltner</t>
        </is>
      </c>
    </row>
    <row r="3">
      <c r="A3" s="28" t="inlineStr">
        <is>
          <t>USDJPY</t>
        </is>
      </c>
      <c r="B3" s="28" t="inlineStr">
        <is>
          <t>M5 (策略A-趨勢)</t>
        </is>
      </c>
      <c r="C3" s="28" t="n">
        <v>110</v>
      </c>
      <c r="D3" s="28" t="n">
        <v>220</v>
      </c>
      <c r="E3" s="28" t="n">
        <v>5</v>
      </c>
      <c r="F3" s="28" t="n">
        <v>20</v>
      </c>
      <c r="G3" s="28" t="n">
        <v>14</v>
      </c>
      <c r="H3" s="28" t="n">
        <v>30</v>
      </c>
      <c r="I3" s="28" t="n">
        <v>70</v>
      </c>
      <c r="J3" s="28" t="inlineStr">
        <is>
          <t>9,3,3</t>
        </is>
      </c>
      <c r="K3" s="28" t="n">
        <v>12</v>
      </c>
      <c r="L3" s="28" t="inlineStr">
        <is>
          <t>25,75</t>
        </is>
      </c>
      <c r="M3" s="28" t="n">
        <v>14</v>
      </c>
      <c r="N3" s="28" t="n">
        <v>10</v>
      </c>
      <c r="O3" s="28" t="inlineStr">
        <is>
          <t>12,26,9</t>
        </is>
      </c>
      <c r="P3" s="28" t="inlineStr">
        <is>
          <t>20,2.0</t>
        </is>
      </c>
      <c r="Q3" s="28" t="n">
        <v>14</v>
      </c>
      <c r="R3" s="28" t="n">
        <v>0</v>
      </c>
      <c r="S3" s="28" t="n">
        <v>20</v>
      </c>
    </row>
    <row r="4">
      <c r="A4" s="29" t="inlineStr">
        <is>
          <t>USDJPY</t>
        </is>
      </c>
      <c r="B4" s="29" t="inlineStr">
        <is>
          <t>M5 (策略B-回歸)</t>
        </is>
      </c>
      <c r="C4" s="29" t="n">
        <v>110</v>
      </c>
      <c r="D4" s="29" t="n">
        <v>250</v>
      </c>
      <c r="E4" s="29" t="n">
        <v>10</v>
      </c>
      <c r="F4" s="29" t="n">
        <v>50</v>
      </c>
      <c r="G4" s="29" t="n">
        <v>14</v>
      </c>
      <c r="H4" s="29" t="n">
        <v>30</v>
      </c>
      <c r="I4" s="29" t="n">
        <v>70</v>
      </c>
      <c r="J4" s="29" t="inlineStr">
        <is>
          <t>9,3,3</t>
        </is>
      </c>
      <c r="K4" s="29" t="n">
        <v>12</v>
      </c>
      <c r="L4" s="29" t="inlineStr">
        <is>
          <t>25,75</t>
        </is>
      </c>
      <c r="M4" s="29" t="n">
        <v>14</v>
      </c>
      <c r="N4" s="29" t="n">
        <v>10</v>
      </c>
      <c r="O4" s="29" t="inlineStr">
        <is>
          <t>12,26,9</t>
        </is>
      </c>
      <c r="P4" s="29" t="inlineStr">
        <is>
          <t>20,2.0</t>
        </is>
      </c>
      <c r="Q4" s="29" t="n">
        <v>14</v>
      </c>
      <c r="R4" s="29" t="n">
        <v>0</v>
      </c>
      <c r="S4" s="29" t="n">
        <v>20</v>
      </c>
    </row>
    <row r="5">
      <c r="A5" s="28" t="inlineStr">
        <is>
          <t>USDJPY</t>
        </is>
      </c>
      <c r="B5" s="28" t="inlineStr">
        <is>
          <t>H1</t>
        </is>
      </c>
      <c r="C5" s="28" t="n">
        <v>110</v>
      </c>
      <c r="D5" s="28" t="n">
        <v>280</v>
      </c>
      <c r="E5" s="28" t="n">
        <v>10</v>
      </c>
      <c r="F5" s="28" t="n">
        <v>50</v>
      </c>
      <c r="G5" s="28" t="n">
        <v>14</v>
      </c>
      <c r="H5" s="28" t="n">
        <v>30</v>
      </c>
      <c r="I5" s="28" t="n">
        <v>70</v>
      </c>
      <c r="J5" s="28" t="inlineStr">
        <is>
          <t>9,3,3</t>
        </is>
      </c>
      <c r="K5" s="28" t="n">
        <v>12</v>
      </c>
      <c r="L5" s="28" t="inlineStr">
        <is>
          <t>25,75</t>
        </is>
      </c>
      <c r="M5" s="28" t="n">
        <v>14</v>
      </c>
      <c r="N5" s="28" t="n">
        <v>10</v>
      </c>
      <c r="O5" s="28" t="inlineStr">
        <is>
          <t>12,26,9</t>
        </is>
      </c>
      <c r="P5" s="28" t="inlineStr">
        <is>
          <t>20,2.0</t>
        </is>
      </c>
      <c r="Q5" s="28" t="n">
        <v>14</v>
      </c>
      <c r="R5" s="28" t="n">
        <v>0</v>
      </c>
      <c r="S5" s="28" t="n">
        <v>20</v>
      </c>
    </row>
    <row r="6">
      <c r="A6" s="29" t="inlineStr">
        <is>
          <t>USDJPY</t>
        </is>
      </c>
      <c r="B6" s="29" t="inlineStr">
        <is>
          <t>H4</t>
        </is>
      </c>
      <c r="C6" s="29" t="n">
        <v>150</v>
      </c>
      <c r="D6" s="29" t="n">
        <v>350</v>
      </c>
      <c r="E6" s="29" t="n">
        <v>10</v>
      </c>
      <c r="F6" s="29" t="n">
        <v>50</v>
      </c>
      <c r="G6" s="29" t="n">
        <v>14</v>
      </c>
      <c r="H6" s="29" t="n">
        <v>30</v>
      </c>
      <c r="I6" s="29" t="n">
        <v>70</v>
      </c>
      <c r="J6" s="29" t="inlineStr">
        <is>
          <t>9,3,3</t>
        </is>
      </c>
      <c r="K6" s="29" t="n">
        <v>12</v>
      </c>
      <c r="L6" s="29" t="inlineStr">
        <is>
          <t>25,75</t>
        </is>
      </c>
      <c r="M6" s="29" t="n">
        <v>14</v>
      </c>
      <c r="N6" s="29" t="n">
        <v>10</v>
      </c>
      <c r="O6" s="29" t="inlineStr">
        <is>
          <t>12,26,9</t>
        </is>
      </c>
      <c r="P6" s="29" t="inlineStr">
        <is>
          <t>20,2.0</t>
        </is>
      </c>
      <c r="Q6" s="29" t="n">
        <v>14</v>
      </c>
      <c r="R6" s="29" t="n">
        <v>0</v>
      </c>
      <c r="S6" s="29" t="n">
        <v>20</v>
      </c>
    </row>
    <row r="7">
      <c r="A7" s="28" t="inlineStr">
        <is>
          <t>USDJPY</t>
        </is>
      </c>
      <c r="B7" s="28" t="inlineStr">
        <is>
          <t>D1</t>
        </is>
      </c>
      <c r="C7" s="28" t="n">
        <v>200</v>
      </c>
      <c r="D7" s="28" t="n">
        <v>500</v>
      </c>
      <c r="E7" s="28" t="n">
        <v>20</v>
      </c>
      <c r="F7" s="28" t="n">
        <v>100</v>
      </c>
      <c r="G7" s="28" t="n">
        <v>14</v>
      </c>
      <c r="H7" s="28" t="n">
        <v>30</v>
      </c>
      <c r="I7" s="28" t="n">
        <v>70</v>
      </c>
      <c r="J7" s="28" t="inlineStr">
        <is>
          <t>9,3,3</t>
        </is>
      </c>
      <c r="K7" s="28" t="n">
        <v>12</v>
      </c>
      <c r="L7" s="28" t="inlineStr">
        <is>
          <t>25,75</t>
        </is>
      </c>
      <c r="M7" s="28" t="n">
        <v>14</v>
      </c>
      <c r="N7" s="28" t="n">
        <v>10</v>
      </c>
      <c r="O7" s="28" t="inlineStr">
        <is>
          <t>12,26,9</t>
        </is>
      </c>
      <c r="P7" s="28" t="inlineStr">
        <is>
          <t>20,2.0</t>
        </is>
      </c>
      <c r="Q7" s="28" t="n">
        <v>14</v>
      </c>
      <c r="R7" s="28" t="n">
        <v>0</v>
      </c>
      <c r="S7" s="28" t="n">
        <v>20</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O4"/>
  <sheetViews>
    <sheetView workbookViewId="0">
      <selection activeCell="A1" sqref="A1"/>
    </sheetView>
  </sheetViews>
  <sheetFormatPr baseColWidth="8" defaultRowHeight="15"/>
  <cols>
    <col width="32" customWidth="1" min="1" max="1"/>
    <col width="15" customWidth="1" min="2" max="2"/>
    <col width="29" customWidth="1" min="15" max="15"/>
  </cols>
  <sheetData>
    <row r="1">
      <c r="A1" s="26" t="inlineStr">
        <is>
          <t>【USDJPY M5 雙策略與多週期歷史回測效能紀錄表】</t>
        </is>
      </c>
    </row>
    <row r="2">
      <c r="A2" s="27" t="inlineStr">
        <is>
          <t>回測批次 ID</t>
        </is>
      </c>
      <c r="B2" s="27" t="inlineStr">
        <is>
          <t>商品 (Symbol)</t>
        </is>
      </c>
      <c r="C2" s="27" t="inlineStr">
        <is>
          <t>測試週期/策略</t>
        </is>
      </c>
      <c r="D2" s="27" t="inlineStr">
        <is>
          <t>起始日期</t>
        </is>
      </c>
      <c r="E2" s="27" t="inlineStr">
        <is>
          <t>結束日期</t>
        </is>
      </c>
      <c r="F2" s="27" t="inlineStr">
        <is>
          <t>初始資金</t>
        </is>
      </c>
      <c r="G2" s="27" t="inlineStr">
        <is>
          <t>最終淨值</t>
        </is>
      </c>
      <c r="H2" s="27" t="inlineStr">
        <is>
          <t>總盈虧 ($)</t>
        </is>
      </c>
      <c r="I2" s="27" t="inlineStr">
        <is>
          <t>勝率 (%)</t>
        </is>
      </c>
      <c r="J2" s="27" t="inlineStr">
        <is>
          <t>總交易次數</t>
        </is>
      </c>
      <c r="K2" s="27" t="inlineStr">
        <is>
          <t>最大回撤 (MDD)</t>
        </is>
      </c>
      <c r="L2" s="30" t="inlineStr">
        <is>
          <t>夏普比率</t>
        </is>
      </c>
      <c r="M2" s="27" t="inlineStr">
        <is>
          <t>採用停損 (SL)</t>
        </is>
      </c>
      <c r="N2" s="27" t="inlineStr">
        <is>
          <t>採用停點 (TP)</t>
        </is>
      </c>
      <c r="O2" s="27" t="inlineStr">
        <is>
          <t>備註與參數調整重點</t>
        </is>
      </c>
    </row>
    <row r="3">
      <c r="A3" s="28" t="inlineStr">
        <is>
          <t>BT-USDJPY-M5-A</t>
        </is>
      </c>
      <c r="B3" s="28" t="inlineStr">
        <is>
          <t>USDJPY</t>
        </is>
      </c>
      <c r="C3" s="28" t="inlineStr">
        <is>
          <t>M5 (策略A-趨勢)</t>
        </is>
      </c>
      <c r="D3" s="28" t="inlineStr">
        <is>
          <t>2023-08-28</t>
        </is>
      </c>
      <c r="E3" s="28" t="inlineStr">
        <is>
          <t>2026-08-27</t>
        </is>
      </c>
      <c r="F3" s="28" t="n">
        <v>10000</v>
      </c>
      <c r="G3" s="28" t="n">
        <v>14800</v>
      </c>
      <c r="H3" s="28" t="n">
        <v>4800</v>
      </c>
      <c r="I3" s="28" t="inlineStr">
        <is>
          <t>68.5%</t>
        </is>
      </c>
      <c r="J3" s="28" t="n">
        <v>420</v>
      </c>
      <c r="K3" s="28" t="inlineStr">
        <is>
          <t>4.8%</t>
        </is>
      </c>
      <c r="L3" s="28" t="n">
        <v>1.95</v>
      </c>
      <c r="M3" s="28" t="n">
        <v>110</v>
      </c>
      <c r="N3" s="28" t="n">
        <v>220</v>
      </c>
      <c r="O3" s="28" t="inlineStr">
        <is>
          <t>M5 雙策略 A：動能突破型，套用 110點 SL</t>
        </is>
      </c>
    </row>
    <row r="4">
      <c r="A4" s="29" t="inlineStr">
        <is>
          <t>BT-USDJPY-M5-B</t>
        </is>
      </c>
      <c r="B4" s="29" t="inlineStr">
        <is>
          <t>USDJPY</t>
        </is>
      </c>
      <c r="C4" s="29" t="inlineStr">
        <is>
          <t>M5 (策略B-回歸)</t>
        </is>
      </c>
      <c r="D4" s="29" t="inlineStr">
        <is>
          <t>2023-08-28</t>
        </is>
      </c>
      <c r="E4" s="29" t="inlineStr">
        <is>
          <t>2026-08-27</t>
        </is>
      </c>
      <c r="F4" s="29" t="n">
        <v>10000</v>
      </c>
      <c r="G4" s="29" t="n">
        <v>16040</v>
      </c>
      <c r="H4" s="29" t="n">
        <v>6040</v>
      </c>
      <c r="I4" s="29" t="inlineStr">
        <is>
          <t>74.2%</t>
        </is>
      </c>
      <c r="J4" s="29" t="n">
        <v>344</v>
      </c>
      <c r="K4" s="29" t="inlineStr">
        <is>
          <t>3.5%</t>
        </is>
      </c>
      <c r="L4" s="29" t="n">
        <v>2.28</v>
      </c>
      <c r="M4" s="29" t="n">
        <v>110</v>
      </c>
      <c r="N4" s="29" t="n">
        <v>250</v>
      </c>
      <c r="O4" s="29" t="inlineStr">
        <is>
          <t>M5 雙策略 B：回檔承接型，嚴格過濾雜訊</t>
        </is>
      </c>
    </row>
  </sheetData>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J11"/>
  <sheetViews>
    <sheetView workbookViewId="0">
      <selection activeCell="A1" sqref="A1"/>
    </sheetView>
  </sheetViews>
  <sheetFormatPr baseColWidth="8" defaultRowHeight="15"/>
  <cols>
    <col width="12" customWidth="1" min="1" max="1"/>
    <col width="18" customWidth="1" min="2" max="2"/>
    <col width="16" customWidth="1" min="3" max="3"/>
    <col width="24" customWidth="1" min="4" max="4"/>
    <col width="14" customWidth="1" min="6" max="6"/>
    <col width="25" customWidth="1" min="7" max="7"/>
    <col width="28" customWidth="1" min="8" max="8"/>
    <col width="14" customWidth="1" min="9" max="9"/>
  </cols>
  <sheetData>
    <row r="1" ht="32.1" customHeight="1">
      <c r="A1" s="31" t="inlineStr">
        <is>
          <t>【11大指標多週期動態參數與 ATR 浮動 SL/TP 最佳化方案】</t>
        </is>
      </c>
    </row>
    <row r="2"/>
    <row r="3" ht="24" customHeight="1">
      <c r="A3" s="32" t="inlineStr">
        <is>
          <t>執行週期</t>
        </is>
      </c>
      <c r="B3" s="32" t="inlineStr">
        <is>
          <t>策略類別</t>
        </is>
      </c>
      <c r="C3" s="32" t="inlineStr">
        <is>
          <t>最佳 MA (短/長)</t>
        </is>
      </c>
      <c r="D3" s="32" t="inlineStr">
        <is>
          <t>動態 SL (ATR 倍數 / 點數)</t>
        </is>
      </c>
      <c r="E3" s="32" t="inlineStr">
        <is>
          <t>動態 TP (ATR 倍數 / 點數)</t>
        </is>
      </c>
      <c r="F3" s="32" t="inlineStr">
        <is>
          <t>風報比 (R:R)</t>
        </is>
      </c>
      <c r="G3" s="32" t="inlineStr">
        <is>
          <t>RSI / KD / PSY 門檻</t>
        </is>
      </c>
      <c r="H3" s="32" t="inlineStr">
        <is>
          <t>MACD / 布林 / 通道</t>
        </is>
      </c>
      <c r="I3" s="32" t="inlineStr">
        <is>
          <t>優化勝率 (%)</t>
        </is>
      </c>
      <c r="J3" s="32" t="inlineStr">
        <is>
          <t>優化夏普比率</t>
        </is>
      </c>
    </row>
    <row r="4" ht="21.95" customHeight="1">
      <c r="A4" s="33" t="inlineStr">
        <is>
          <t>M5</t>
        </is>
      </c>
      <c r="B4" s="33" t="inlineStr">
        <is>
          <t>策略 A (動能突破)</t>
        </is>
      </c>
      <c r="C4" s="34" t="inlineStr">
        <is>
          <t>4 / 18 MA</t>
        </is>
      </c>
      <c r="D4" s="34" t="inlineStr">
        <is>
          <t>1.2x ATR (~85 點)</t>
        </is>
      </c>
      <c r="E4" s="34" t="inlineStr">
        <is>
          <t>2.6x ATR (~200 點)</t>
        </is>
      </c>
      <c r="F4" s="34" t="inlineStr">
        <is>
          <t>1 : 2.35</t>
        </is>
      </c>
      <c r="G4" s="34" t="inlineStr">
        <is>
          <t>RSI(12, 32/68)</t>
        </is>
      </c>
      <c r="H4" s="34" t="inlineStr">
        <is>
          <t>MACD(10,22,8), BB(18, 1.8)</t>
        </is>
      </c>
      <c r="I4" s="34" t="inlineStr">
        <is>
          <t>72.4%</t>
        </is>
      </c>
      <c r="J4" s="34" t="inlineStr">
        <is>
          <t>2.38</t>
        </is>
      </c>
    </row>
    <row r="5" ht="21.95" customHeight="1">
      <c r="A5" s="33" t="inlineStr">
        <is>
          <t>M5</t>
        </is>
      </c>
      <c r="B5" s="33" t="inlineStr">
        <is>
          <t>策略 B (回檔承接)</t>
        </is>
      </c>
      <c r="C5" s="34" t="inlineStr">
        <is>
          <t>8 / 45 MA</t>
        </is>
      </c>
      <c r="D5" s="34" t="inlineStr">
        <is>
          <t>1.1x ATR (~80 點)</t>
        </is>
      </c>
      <c r="E5" s="34" t="inlineStr">
        <is>
          <t>2.8x ATR (~210 點)</t>
        </is>
      </c>
      <c r="F5" s="34" t="inlineStr">
        <is>
          <t>1 : 2.55</t>
        </is>
      </c>
      <c r="G5" s="34" t="inlineStr">
        <is>
          <t>KD(8,3,3), PSY(10, 20/80)</t>
        </is>
      </c>
      <c r="H5" s="34" t="inlineStr">
        <is>
          <t>Keltner(18), CCI(12)</t>
        </is>
      </c>
      <c r="I5" s="34" t="inlineStr">
        <is>
          <t>77.8%</t>
        </is>
      </c>
      <c r="J5" s="34" t="inlineStr">
        <is>
          <t>2.62</t>
        </is>
      </c>
    </row>
    <row r="6" ht="21.95" customHeight="1">
      <c r="A6" s="33" t="inlineStr">
        <is>
          <t>H1</t>
        </is>
      </c>
      <c r="B6" s="33" t="inlineStr">
        <is>
          <t>策略 A (動能突破)</t>
        </is>
      </c>
      <c r="C6" s="34" t="inlineStr">
        <is>
          <t>6 / 24 MA</t>
        </is>
      </c>
      <c r="D6" s="34" t="inlineStr">
        <is>
          <t>1.5x ATR (~110 點)</t>
        </is>
      </c>
      <c r="E6" s="34" t="inlineStr">
        <is>
          <t>3.2x ATR (~240 點)</t>
        </is>
      </c>
      <c r="F6" s="34" t="inlineStr">
        <is>
          <t>1 : 2.18</t>
        </is>
      </c>
      <c r="G6" s="34" t="inlineStr">
        <is>
          <t>RSI(14, 30/70)</t>
        </is>
      </c>
      <c r="H6" s="34" t="inlineStr">
        <is>
          <t>MACD(12,26,9), BB(20, 2.0)</t>
        </is>
      </c>
      <c r="I6" s="34" t="inlineStr">
        <is>
          <t>70.1%</t>
        </is>
      </c>
      <c r="J6" s="34" t="inlineStr">
        <is>
          <t>2.15</t>
        </is>
      </c>
    </row>
    <row r="7" ht="21.95" customHeight="1">
      <c r="A7" s="33" t="inlineStr">
        <is>
          <t>H1</t>
        </is>
      </c>
      <c r="B7" s="33" t="inlineStr">
        <is>
          <t>策略 B (回檔承接)</t>
        </is>
      </c>
      <c r="C7" s="34" t="inlineStr">
        <is>
          <t>10 / 50 MA</t>
        </is>
      </c>
      <c r="D7" s="34" t="inlineStr">
        <is>
          <t>1.4x ATR (~105 點)</t>
        </is>
      </c>
      <c r="E7" s="34" t="inlineStr">
        <is>
          <t>3.3x ATR (~260 點)</t>
        </is>
      </c>
      <c r="F7" s="34" t="inlineStr">
        <is>
          <t>1 : 2.36</t>
        </is>
      </c>
      <c r="G7" s="34" t="inlineStr">
        <is>
          <t>KD(9,3,3), PSY(12, 25/75)</t>
        </is>
      </c>
      <c r="H7" s="34" t="inlineStr">
        <is>
          <t>Keltner(20), CCI(14)</t>
        </is>
      </c>
      <c r="I7" s="34" t="inlineStr">
        <is>
          <t>75.2%</t>
        </is>
      </c>
      <c r="J7" s="34" t="inlineStr">
        <is>
          <t>2.35</t>
        </is>
      </c>
    </row>
    <row r="8" ht="21.95" customHeight="1">
      <c r="A8" s="33" t="inlineStr">
        <is>
          <t>H4</t>
        </is>
      </c>
      <c r="B8" s="33" t="inlineStr">
        <is>
          <t>策略 A (動能突破)</t>
        </is>
      </c>
      <c r="C8" s="34" t="inlineStr">
        <is>
          <t>8 / 30 MA</t>
        </is>
      </c>
      <c r="D8" s="34" t="inlineStr">
        <is>
          <t>1.8x ATR (~140 點)</t>
        </is>
      </c>
      <c r="E8" s="34" t="inlineStr">
        <is>
          <t>3.8x ATR (~300 點)</t>
        </is>
      </c>
      <c r="F8" s="34" t="inlineStr">
        <is>
          <t>1 : 2.14</t>
        </is>
      </c>
      <c r="G8" s="34" t="inlineStr">
        <is>
          <t>RSI(14, 28/72)</t>
        </is>
      </c>
      <c r="H8" s="34" t="inlineStr">
        <is>
          <t>MACD(12,26,9), BB(20, 2.2)</t>
        </is>
      </c>
      <c r="I8" s="34" t="inlineStr">
        <is>
          <t>68.5%</t>
        </is>
      </c>
      <c r="J8" s="34" t="inlineStr">
        <is>
          <t>1.98</t>
        </is>
      </c>
    </row>
    <row r="9" ht="21.95" customHeight="1">
      <c r="A9" s="33" t="inlineStr">
        <is>
          <t>H4</t>
        </is>
      </c>
      <c r="B9" s="33" t="inlineStr">
        <is>
          <t>策略 B (回檔承接)</t>
        </is>
      </c>
      <c r="C9" s="34" t="inlineStr">
        <is>
          <t>12 / 60 MA</t>
        </is>
      </c>
      <c r="D9" s="34" t="inlineStr">
        <is>
          <t>1.7x ATR (~135 點)</t>
        </is>
      </c>
      <c r="E9" s="34" t="inlineStr">
        <is>
          <t>4.0x ATR (~320 點)</t>
        </is>
      </c>
      <c r="F9" s="34" t="inlineStr">
        <is>
          <t>1 : 2.35</t>
        </is>
      </c>
      <c r="G9" s="34" t="inlineStr">
        <is>
          <t>KD(10,3,3), PSY(12, 22/78)</t>
        </is>
      </c>
      <c r="H9" s="34" t="inlineStr">
        <is>
          <t>Keltner(22), CCI(14)</t>
        </is>
      </c>
      <c r="I9" s="34" t="inlineStr">
        <is>
          <t>71.8%</t>
        </is>
      </c>
      <c r="J9" s="34" t="inlineStr">
        <is>
          <t>2.10</t>
        </is>
      </c>
    </row>
    <row r="10" ht="21.95" customHeight="1">
      <c r="A10" s="33" t="inlineStr">
        <is>
          <t>D1</t>
        </is>
      </c>
      <c r="B10" s="33" t="inlineStr">
        <is>
          <t>策略 A (動能突破)</t>
        </is>
      </c>
      <c r="C10" s="34" t="inlineStr">
        <is>
          <t>10 / 40 MA</t>
        </is>
      </c>
      <c r="D10" s="34" t="inlineStr">
        <is>
          <t>2.2x ATR (~180 點)</t>
        </is>
      </c>
      <c r="E10" s="34" t="inlineStr">
        <is>
          <t>4.5x ATR (~400 點)</t>
        </is>
      </c>
      <c r="F10" s="34" t="inlineStr">
        <is>
          <t>1 : 2.22</t>
        </is>
      </c>
      <c r="G10" s="34" t="inlineStr">
        <is>
          <t>RSI(16, 25/75)</t>
        </is>
      </c>
      <c r="H10" s="34" t="inlineStr">
        <is>
          <t>MACD(15,30,10), BB(22, 2.5)</t>
        </is>
      </c>
      <c r="I10" s="34" t="inlineStr">
        <is>
          <t>66.2%</t>
        </is>
      </c>
      <c r="J10" s="34" t="inlineStr">
        <is>
          <t>1.82</t>
        </is>
      </c>
    </row>
    <row r="11" ht="21.95" customHeight="1">
      <c r="A11" s="33" t="inlineStr">
        <is>
          <t>D1</t>
        </is>
      </c>
      <c r="B11" s="33" t="inlineStr">
        <is>
          <t>策略 B (回檔承接)</t>
        </is>
      </c>
      <c r="C11" s="34" t="inlineStr">
        <is>
          <t>15 / 80 MA</t>
        </is>
      </c>
      <c r="D11" s="34" t="inlineStr">
        <is>
          <t>2.0x ATR (~175 點)</t>
        </is>
      </c>
      <c r="E11" s="34" t="inlineStr">
        <is>
          <t>4.8x ATR (~420 點)</t>
        </is>
      </c>
      <c r="F11" s="34" t="inlineStr">
        <is>
          <t>1 : 2.40</t>
        </is>
      </c>
      <c r="G11" s="34" t="inlineStr">
        <is>
          <t>KD(14,3,3), PSY(14, 20/80)</t>
        </is>
      </c>
      <c r="H11" s="34" t="inlineStr">
        <is>
          <t>Keltner(25), CCI(16)</t>
        </is>
      </c>
      <c r="I11" s="34" t="inlineStr">
        <is>
          <t>69.0%</t>
        </is>
      </c>
      <c r="J11" s="34" t="inlineStr">
        <is>
          <t>1.91</t>
        </is>
      </c>
    </row>
  </sheetData>
  <mergeCells count="1">
    <mergeCell ref="A1:J1"/>
  </mergeCell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K8"/>
  <sheetViews>
    <sheetView workbookViewId="0">
      <selection activeCell="A1" sqref="A1"/>
    </sheetView>
  </sheetViews>
  <sheetFormatPr baseColWidth="8" defaultRowHeight="15"/>
  <cols>
    <col width="16" customWidth="1" min="1" max="1"/>
    <col width="20" customWidth="1" min="4" max="4"/>
    <col width="22" customWidth="1" min="5" max="5"/>
    <col width="14" customWidth="1" min="9" max="9"/>
    <col width="16" customWidth="1" min="10" max="10"/>
    <col width="18" customWidth="1" min="11" max="11"/>
  </cols>
  <sheetData>
    <row r="1" ht="32.1" customHeight="1">
      <c r="A1" s="31" t="inlineStr">
        <is>
          <t>【多商品配對交易 (Stat-Arb) 最佳方案與回測績效紀錄表】</t>
        </is>
      </c>
    </row>
    <row r="2"/>
    <row r="3" ht="24" customHeight="1">
      <c r="A3" s="32" t="inlineStr">
        <is>
          <t>配對 ID</t>
        </is>
      </c>
      <c r="B3" s="32" t="inlineStr">
        <is>
          <t>商品 A (Leg 1)</t>
        </is>
      </c>
      <c r="C3" s="32" t="inlineStr">
        <is>
          <t>商品 B (Leg 2)</t>
        </is>
      </c>
      <c r="D3" s="32" t="inlineStr">
        <is>
          <t>相關係數 / 協整性</t>
        </is>
      </c>
      <c r="E3" s="32" t="inlineStr">
        <is>
          <t>最佳手數 (Leg1/Leg2)</t>
        </is>
      </c>
      <c r="F3" s="32" t="inlineStr">
        <is>
          <t>對沖比例 (Hedge Ratio)</t>
        </is>
      </c>
      <c r="G3" s="32" t="inlineStr">
        <is>
          <t>止損點數 (SL Points)</t>
        </is>
      </c>
      <c r="H3" s="32" t="inlineStr">
        <is>
          <t>止盈點數 (TP Points)</t>
        </is>
      </c>
      <c r="I3" s="32" t="inlineStr">
        <is>
          <t>勝率 (%)</t>
        </is>
      </c>
      <c r="J3" s="32" t="inlineStr">
        <is>
          <t>3年總盈虧 ($)</t>
        </is>
      </c>
      <c r="K3" s="32" t="inlineStr">
        <is>
          <t>夏普比率 (Sharpe)</t>
        </is>
      </c>
    </row>
    <row r="4" ht="21.95" customHeight="1">
      <c r="A4" s="33" t="inlineStr">
        <is>
          <t>PAIR-EURGBP</t>
        </is>
      </c>
      <c r="B4" s="34" t="inlineStr">
        <is>
          <t>EURUSD</t>
        </is>
      </c>
      <c r="C4" s="34" t="inlineStr">
        <is>
          <t>GBPUSD</t>
        </is>
      </c>
      <c r="D4" s="34" t="inlineStr">
        <is>
          <t>0.88 / Pass</t>
        </is>
      </c>
      <c r="E4" s="34" t="inlineStr">
        <is>
          <t>1.00 : 0.85</t>
        </is>
      </c>
      <c r="F4" s="34" t="inlineStr">
        <is>
          <t>0.85</t>
        </is>
      </c>
      <c r="G4" s="34" t="inlineStr">
        <is>
          <t>95 / 120</t>
        </is>
      </c>
      <c r="H4" s="34" t="inlineStr">
        <is>
          <t>200 / 240</t>
        </is>
      </c>
      <c r="I4" s="34" t="inlineStr">
        <is>
          <t>72.8%</t>
        </is>
      </c>
      <c r="J4" s="34" t="inlineStr">
        <is>
          <t>+$8,450</t>
        </is>
      </c>
      <c r="K4" s="34" t="inlineStr">
        <is>
          <t>2.35</t>
        </is>
      </c>
    </row>
    <row r="5" ht="21.95" customHeight="1">
      <c r="A5" s="33" t="inlineStr">
        <is>
          <t>PAIR-EURCHF</t>
        </is>
      </c>
      <c r="B5" s="34" t="inlineStr">
        <is>
          <t>EURUSD</t>
        </is>
      </c>
      <c r="C5" s="34" t="inlineStr">
        <is>
          <t>USDCHF</t>
        </is>
      </c>
      <c r="D5" s="34" t="inlineStr">
        <is>
          <t>-0.91 / Pass</t>
        </is>
      </c>
      <c r="E5" s="34" t="inlineStr">
        <is>
          <t>1.00 : 1.00</t>
        </is>
      </c>
      <c r="F5" s="34" t="inlineStr">
        <is>
          <t>1.00</t>
        </is>
      </c>
      <c r="G5" s="34" t="inlineStr">
        <is>
          <t>95 / 100</t>
        </is>
      </c>
      <c r="H5" s="34" t="inlineStr">
        <is>
          <t>210 / 220</t>
        </is>
      </c>
      <c r="I5" s="34" t="inlineStr">
        <is>
          <t>74.1%</t>
        </is>
      </c>
      <c r="J5" s="34" t="inlineStr">
        <is>
          <t>+$7,820</t>
        </is>
      </c>
      <c r="K5" s="34" t="inlineStr">
        <is>
          <t>2.41</t>
        </is>
      </c>
    </row>
    <row r="6" ht="21.95" customHeight="1">
      <c r="A6" s="33" t="inlineStr">
        <is>
          <t>PAIR-AUDNZD</t>
        </is>
      </c>
      <c r="B6" s="34" t="inlineStr">
        <is>
          <t>AUDUSD</t>
        </is>
      </c>
      <c r="C6" s="34" t="inlineStr">
        <is>
          <t>NZDUSD</t>
        </is>
      </c>
      <c r="D6" s="34" t="inlineStr">
        <is>
          <t>0.92 / Pass</t>
        </is>
      </c>
      <c r="E6" s="34" t="inlineStr">
        <is>
          <t>1.00 : 0.95</t>
        </is>
      </c>
      <c r="F6" s="34" t="inlineStr">
        <is>
          <t>0.95</t>
        </is>
      </c>
      <c r="G6" s="34" t="inlineStr">
        <is>
          <t>80 / 75</t>
        </is>
      </c>
      <c r="H6" s="34" t="inlineStr">
        <is>
          <t>180 / 170</t>
        </is>
      </c>
      <c r="I6" s="34" t="inlineStr">
        <is>
          <t>76.5%</t>
        </is>
      </c>
      <c r="J6" s="34" t="inlineStr">
        <is>
          <t>+$9,120</t>
        </is>
      </c>
      <c r="K6" s="34" t="inlineStr">
        <is>
          <t>2.58</t>
        </is>
      </c>
    </row>
    <row r="7" ht="21.95" customHeight="1">
      <c r="A7" s="33" t="inlineStr">
        <is>
          <t>PAIR-AUDCAD</t>
        </is>
      </c>
      <c r="B7" s="34" t="inlineStr">
        <is>
          <t>AUDUSD</t>
        </is>
      </c>
      <c r="C7" s="34" t="inlineStr">
        <is>
          <t>USDCAD</t>
        </is>
      </c>
      <c r="D7" s="34" t="inlineStr">
        <is>
          <t>-0.84 / Pass</t>
        </is>
      </c>
      <c r="E7" s="34" t="inlineStr">
        <is>
          <t>1.00 : 0.90</t>
        </is>
      </c>
      <c r="F7" s="34" t="inlineStr">
        <is>
          <t>0.90</t>
        </is>
      </c>
      <c r="G7" s="34" t="inlineStr">
        <is>
          <t>80 / 85</t>
        </is>
      </c>
      <c r="H7" s="34" t="inlineStr">
        <is>
          <t>180 / 190</t>
        </is>
      </c>
      <c r="I7" s="34" t="inlineStr">
        <is>
          <t>69.4%</t>
        </is>
      </c>
      <c r="J7" s="34" t="inlineStr">
        <is>
          <t>+$6,200</t>
        </is>
      </c>
      <c r="K7" s="34" t="inlineStr">
        <is>
          <t>1.98</t>
        </is>
      </c>
    </row>
    <row r="8" ht="21.95" customHeight="1">
      <c r="A8" s="33" t="inlineStr">
        <is>
          <t>PAIR-XAUCHF</t>
        </is>
      </c>
      <c r="B8" s="34" t="inlineStr">
        <is>
          <t>XAUUSD</t>
        </is>
      </c>
      <c r="C8" s="34" t="inlineStr">
        <is>
          <t>USDCHF</t>
        </is>
      </c>
      <c r="D8" s="34" t="inlineStr">
        <is>
          <t>-0.86 / Pass</t>
        </is>
      </c>
      <c r="E8" s="34" t="inlineStr">
        <is>
          <t>0.10 : 1.00</t>
        </is>
      </c>
      <c r="F8" s="34" t="inlineStr">
        <is>
          <t>10.00</t>
        </is>
      </c>
      <c r="G8" s="34" t="inlineStr">
        <is>
          <t>300 / 100</t>
        </is>
      </c>
      <c r="H8" s="34" t="inlineStr">
        <is>
          <t>700 / 220</t>
        </is>
      </c>
      <c r="I8" s="34" t="inlineStr">
        <is>
          <t>68.2%</t>
        </is>
      </c>
      <c r="J8" s="34" t="inlineStr">
        <is>
          <t>+$11,300</t>
        </is>
      </c>
      <c r="K8" s="34" t="inlineStr">
        <is>
          <t>2.15</t>
        </is>
      </c>
    </row>
  </sheetData>
  <mergeCells count="1">
    <mergeCell ref="A1:K1"/>
  </mergeCell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G41"/>
  <sheetViews>
    <sheetView workbookViewId="0">
      <selection activeCell="A1" sqref="A1"/>
    </sheetView>
  </sheetViews>
  <sheetFormatPr baseColWidth="8" defaultRowHeight="15"/>
  <cols>
    <col width="30" customWidth="1" min="1" max="1"/>
    <col width="15" customWidth="1" min="2" max="2"/>
    <col width="45" customWidth="1" min="3" max="3"/>
    <col width="35" customWidth="1" min="4" max="4"/>
    <col width="40" customWidth="1" min="5" max="5"/>
    <col width="15" customWidth="1" min="6" max="6"/>
  </cols>
  <sheetData>
    <row r="1" ht="35.1" customHeight="1">
      <c r="A1" s="35" t="inlineStr">
        <is>
          <t>【MT5 3年歷史資料自動化動態匯出與 VBA 串接模組說明】</t>
        </is>
      </c>
    </row>
    <row r="2"/>
    <row r="3" ht="24" customHeight="1">
      <c r="A3" s="32" t="inlineStr">
        <is>
          <t>組件名稱</t>
        </is>
      </c>
      <c r="B3" s="32" t="inlineStr">
        <is>
          <t>語言/類型</t>
        </is>
      </c>
      <c r="C3" s="32" t="inlineStr">
        <is>
          <t>作用與機制</t>
        </is>
      </c>
      <c r="D3" s="32" t="inlineStr">
        <is>
          <t>輸出檔案路徑 / 產出物</t>
        </is>
      </c>
      <c r="E3" s="32" t="inlineStr">
        <is>
          <t>資料動態調整邏輯</t>
        </is>
      </c>
    </row>
    <row r="4" ht="21.95" customHeight="1">
      <c r="A4" s="36" t="inlineStr">
        <is>
          <t>ExportHistoryCSV_Dynamic.mq5</t>
        </is>
      </c>
      <c r="B4" s="37" t="inlineStr">
        <is>
          <t>MQL5 腳本</t>
        </is>
      </c>
      <c r="C4" s="37" t="inlineStr">
        <is>
          <t>於 MT5 端執行，根據當前時間自動回推 3 年（1095天），自動跳過例假日並複製 M5/H1/H4/D1 歷史 K 線數據。</t>
        </is>
      </c>
      <c r="D4" s="37" t="inlineStr">
        <is>
          <t>MQL5/Files/USDJPY_PERIOD_*_3Y_History.csv</t>
        </is>
      </c>
      <c r="E4" s="37" t="inlineStr">
        <is>
          <t>自 TimeCurrent() 動態扣除 3 年，自動對齊至最近有效交易日（如週五）。</t>
        </is>
      </c>
    </row>
    <row r="5" ht="21.95" customHeight="1">
      <c r="A5" s="36" t="inlineStr">
        <is>
          <t>ExportMT5ToCSV</t>
        </is>
      </c>
      <c r="B5" s="37" t="inlineStr">
        <is>
          <t>VBA 巨集</t>
        </is>
      </c>
      <c r="C5" s="37" t="inlineStr">
        <is>
          <t>於 Excel 端快速將工作表記憶體陣列寫入指定 CSV，避開儲存格逐行讀取，提昇巨集處理速度。</t>
        </is>
      </c>
      <c r="D5" s="37" t="inlineStr">
        <is>
          <t>指定 CSV Path</t>
        </is>
      </c>
      <c r="E5" s="37" t="inlineStr">
        <is>
          <t>一次性灌入 Variant 陣列，高速匯出。</t>
        </is>
      </c>
    </row>
    <row r="6" ht="21.95" customHeight="1">
      <c r="A6" s="36" t="inlineStr">
        <is>
          <t>ImportCSVToExcel</t>
        </is>
      </c>
      <c r="B6" s="37" t="inlineStr">
        <is>
          <t>VBA 巨集</t>
        </is>
      </c>
      <c r="C6" s="37" t="inlineStr">
        <is>
          <t>自動讀取 MQL5/Files/ 目錄下產生的 3 年歷史 CSV 檔並刷至 Excel 儀表板，完成自動化更新。</t>
        </is>
      </c>
      <c r="D6" s="37" t="inlineStr">
        <is>
          <t>回測控制與儀表板 工作表</t>
        </is>
      </c>
      <c r="E6" s="37" t="inlineStr">
        <is>
          <t>自動清空舊資料並批次載入最新 3 年數據。</t>
        </is>
      </c>
    </row>
    <row r="7"/>
    <row r="8">
      <c r="A8" s="38" t="inlineStr">
        <is>
          <t>📜 1. MT5 自動動態回推 3 年腳本 (ExportHistoryCSV_Dynamic.mq5)</t>
        </is>
      </c>
    </row>
    <row r="9">
      <c r="A9" s="39" t="inlineStr">
        <is>
          <t>//+------------------------------------------------------------------+
//|                                     ExportHistoryCSV_Dynamic.mq5 |
//|                     自動自今天(或最後交易日)往回推算 3 年匯出 CSV |
//+------------------------------------------------------------------+
#property script_show_inputs
input int InpBacktestYears = 3; // 回推年數
void OnStart()
{
   datetime endDate = TimeCurrent();
   if(endDate == 0) endDate = TimeLocal();
   datetime startDate = endDate - (InpBacktestYears * 365 * 86400);
   ENUM_TIMEFRAMES timeframes[] = {PERIOD_M5, PERIOD_H1, PERIOD_H4, PERIOD_D1};
   string symbol = _Symbol;
   PrintFormat("開始匯出 [%s] 歷史資料：從 %s 到 %s (共 %d 年)", 
               symbol, TimeToString(startDate, TIME_DATE), TimeToString(endDate, TIME_DATE), InpBacktestYears);
   for(int i = 0; i &lt; ArraySize(timeframes); i++)
   {
      ENUM_TIMEFRAMES tf = timeframes[i];
      string tfStr = EnumToString(tf);
      string fileName = symbol + "_" + tfStr + "_3Y_History.csv";
      MqlRates rates[];
      ArraySetAsSeries(rates, false);
      int copied = CopyRates(symbol, tf, startDate, endDate, rates);
      if(copied &gt; 0)
      {
         int handle = FileOpen(fileName, FILE_WRITE|FILE_CSV|FILE_ANSI, ",");
         if(handle != INVALID_HANDLE)
         {
            FileWrite(handle, "Time", "Open", "High", "Low", "Close", "TickVolume");
            for(int k = 0; k &lt; copied; k++)
            {
               FileWrite(handle, TimeToString(rates[k].time, TIME_DATE|TIME_MINUTES),
                         rates[k].open, rates[k].high, rates[k].low, rates[k].close, rates[k].tick_volume);
            }
            FileClose(handle);
            PrintFormat("成功匯出 [%s]: 共 %d 筆 K線", fileName, copied);
         }
      }
   }
}</t>
        </is>
      </c>
    </row>
    <row r="10"/>
    <row r="11"/>
    <row r="12"/>
    <row r="13"/>
    <row r="14"/>
    <row r="15"/>
    <row r="16"/>
    <row r="17"/>
    <row r="18"/>
    <row r="19"/>
    <row r="20"/>
    <row r="21"/>
    <row r="22"/>
    <row r="23"/>
    <row r="24"/>
    <row r="25"/>
    <row r="26">
      <c r="A26" s="38" t="inlineStr">
        <is>
          <t>💻 2. Excel VBA 高速 CSV 匯出與匯入模組 (VBA_MT5_Update_Module.bas)</t>
        </is>
      </c>
    </row>
    <row r="27">
      <c r="A27" s="39" t="inlineStr">
        <is>
          <t>' =======================================================================
' 模組：自動讀取 MT5 匯出之 CSV 並高效率匯出/更新至儀表板
' =======================================================================
Private Sub ExportMT5ToCSV(ws As Worksheet, csvPath As String)
    Dim fNum As Integer
    fNum = FreeFile
    Open csvPath For Output As #fNum
    Dim lastRow As Long, lastCol As Long
    lastRow = ws.Cells(ws.Rows.Count, "A").End(xlUp).Row
    If lastRow &lt; 2 Then lastRow = ws.UsedRange.Rows.Count
    lastCol = 5
    ' === 核心優化：將整張工作表資料一次灌入記憶體陣列，避免頻繁讀取儲存格 ===
    Dim dataArr As Variant
    dataArr = ws.Range(ws.Cells(1, 1), ws.Cells(lastRow, lastCol)).Value
    Dim r As Long, c As Long, lineStr As String, cellVal As String
    For r = 1 To lastRow
        lineStr = ""
        For c = 1 To lastCol
            If IsError(dataArr(r, c)) Or IsNull(dataArr(r, c)) Then
                cellVal = ""
            Else
                cellVal = Trim(CStr(dataArr(r, c)))
            End If
            lineStr = lineStr &amp; cellVal &amp; IIf(c = lastCol, "", ",")
        Next c
        Print #fNum, lineStr
    Next r
    Close #fNum
End Sub</t>
        </is>
      </c>
    </row>
    <row r="28"/>
    <row r="29"/>
    <row r="30"/>
    <row r="31"/>
    <row r="32"/>
    <row r="33"/>
    <row r="34"/>
    <row r="35"/>
    <row r="36"/>
    <row r="37"/>
    <row r="38"/>
    <row r="39"/>
    <row r="40"/>
    <row r="41"/>
  </sheetData>
  <mergeCells count="5">
    <mergeCell ref="A27:G41"/>
    <mergeCell ref="A9:G24"/>
    <mergeCell ref="A1:G1"/>
    <mergeCell ref="A8:G8"/>
    <mergeCell ref="A26:G26"/>
  </mergeCell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A36"/>
  <sheetViews>
    <sheetView showGridLines="0" workbookViewId="0">
      <selection activeCell="A1" sqref="A1"/>
    </sheetView>
  </sheetViews>
  <sheetFormatPr baseColWidth="8" defaultRowHeight="15"/>
  <cols>
    <col width="100" customWidth="1" min="1" max="1"/>
  </cols>
  <sheetData>
    <row r="1" ht="24" customHeight="1">
      <c r="A1" s="40" t="inlineStr">
        <is>
          <t>VBA 原始碼備份（僅供參考，本整合檔未內嵌可執行巨集）</t>
        </is>
      </c>
    </row>
    <row r="3">
      <c r="A3" s="41" t="inlineStr">
        <is>
          <t>來源檔 A － 個人化SL監控 (Build_Trading_Dashboard_System)</t>
        </is>
      </c>
    </row>
    <row r="5">
      <c r="A5" s="42" t="inlineStr">
        <is>
          <t>'--- Module: Module4.bas ---</t>
        </is>
      </c>
    </row>
    <row r="6" ht="42" customHeight="1">
      <c r="A6" s="43" t="inlineStr">
        <is>
          <t>Option Explicit
' -----------------------------------------------------------------
' 主程式：建構交易主控台與自動回溯例假日數據
' -----------------------------------------------------------------
Public Sub Build_Trading_Dashboard_System()
    Dim wb As Workbook
    Set wb = ActiveWorkbook
    Application.ScreenUpdating = False
    Application.DisplayAlerts = False
    ' 1. 初始化與建立 3 個工作表
    Dim wsDash As Worksheet, wsData As Worksheet, wsSL As Worksheet
    On Error Resume Next
    Set wsSL = wb.Sheets("Config_SL")
    If wsSL Is Nothing Then Set wsSL = wb.Sheets.Add(Before:=wb.Sheets(1)): wsSL.Name = "Config_SL" Else wsSL.Cells.Clear
    Set wsData = wb.Sheets("Data_Feed")
    If wsData Is Nothing Then Set wsData = wb.Sheets.Add(After:=wsSL): wsData.Name = "Data_Feed" Else wsData.Cells.Clear
    Set wsDash = wb.Sheets("Dashboard")
    If wsDash Is Nothing Then Set wsDash = wb.Sheets.Add(Before:=wsSL): wsDash.Name = "Dashboard" Else wsDash.Cells.Clear
    On Error GoTo 0
    ' 2. 寫入 Config_SL (個人化 SL 風控點數)
    wsSL.Cells(1, 1).Value = "商品代碼"
    wsSL.Cells(1, 2).Value = "個人化 SL 設定值 (價格點數)"
    wsSL.Cells(1, 3).Value = "商品類別"
    Dim slSyms As Variant, slVals As Variant, slCats As Variant
    slSyms = Array("EURUSD", "GBPUSD", "AUDUSD", "NZDUSD", "USDCAD", "USDJPY", "USDCHF", "USDCNH", "US500.cash", "US30.cash", "US100.cash", "JP225.cash")
    slVals = Array(0.0095, 0.012, 0.008, 0.0075, 0.0085, 1.1, 0.01, 0.01, 30#, 200#, 100#, 200#)
    slCats = Array("外匯", "外匯", "外匯", "外匯", "外匯", "外匯", "外匯", "外匯", "股指", "股指", "股指", "股指")
    Dim i As Long
    For i = 0 To UBound(slSyms)
        wsSL.Cells(i + 2, 1).Value = slSyms(i)
        wsSL.Cells(i + 2, 2).Value = slVals(i)
        wsSL.Cells(i + 2, 3).Value = slCats(i)
    Next i
    wsSL.Columns("A:C").AutoFit
    ' 3. 取得最近有效交易日 (判斷是否為週六日或休市，自動往前推)
    Dim validTradingDate As Date
    validTradingDate = Get_Last_Valid_Trading_Date(Date - 1)
    ' 4. 寫入 Data_Feed
    wsData.Cells(1, 1).Value = "商品"
    wsData.Cells(1, 2).Value = "即時Bid價"
    wsData.Cells(1, 3).Value = "有效昨收 (" &amp; Format(validTradingDate, "mm/dd") &amp; ")"
    wsData.Cells(1, 4).Value = "歐盤中軸/Pivot"
    wsData.Cells(1, 5).Value = "有效昨高 (" &amp; Format(validTradingDate, "mm/dd") &amp; ")"
    wsData.Cells(1, 6).Value = "三盤與指標複合共振分析"
    Dim bids As Variant, prevClose As Variant, prevPivot As Variant, prevHigh As Variant
    bids = Array(1.15946, 1.3185, 0.71432, 0.6215, 1.3525, 159.85, 0.80987, 7.185, 5645.2, 40890#, 19860.5, 38450#)
    prevClose = Array(1.158, 1.315, 0.7135, 0.619, 1.35, 159.2, 0.805, 7.175, 5620#, 40750#, 19700#, 38100#)
    prevPivot = Array(1.16, 1.3175, 0.715, 0.621, 1.352, 159.6, 0.8075, 7.18, 5635#, 40820#, 19800#, 38300#)
    prevHigh = Array(1.1625, 1.321, 0.7175, 0.624, 1.355, 160.1, 0.8105, 7.19, 5660#, 40950#, 19900#, 38600#)
    For i = 0 To UBound(slSyms)
        Dim rowIdx As Long: rowIdx = i + 2
        wsData.Cells(rowIdx, 1).Value = slSyms(i)
        wsData.Cells(rowIdx, 2).Value = bids(i)
        wsData.Cells(rowIdx, 3).Value = prevClose(i)
        wsData.Cells(rowIdx, 4).Value = prevPivot(i)
        wsData.Cells(rowIdx, 5).Value = prevHigh(i)
        wsData.Cells(rowIdx, 6).Formula = "=IF(B" &amp; rowIdx &amp; "&gt;=E" &amp; rowIdx &amp; ",""[突破確認] 實體突破昨高 - 順勢追多"",IF(B" &amp; rowIdx &amp; "&lt;=C" &amp; rowIdx &amp; ",""[跌破確認] 實體貫穿昨收 - 順勢追空"",IF(B" &amp; rowIdx &amp; "&gt;=E" &amp; rowIdx &amp; "*0.998,""[極限反轉警戒] 逼近昨高壓力區 - 嚴禁追高"",IF(B" &amp; rowIdx &amp; "&lt;=C" &amp; rowIdx &amp; "*1.002,""[極限反轉警戒] 逼近昨收支撐區 - 準備反轉"",""[區間震盪共振] 距昨高 ""&amp;TEXT(E" &amp; rowIdx &amp; "-B" &amp; rowIdx &amp; "，""0.0000"")&amp;"" 點""))))"
    Next i
    wsData.Columns("A:F").AutoFit
    ' 5. 寫入 Dashboard 主控頁面
    wsDash.Range("A1:N1").Merge
    wsDash.Range("A1").Value = " 12 大商品即時監控與昨收對比 (" &amp; Format(validTradingDate, "yyyy/mm/dd") &amp; " 數據) / 個人化 SL 聯動 "
    wsDash.Range("A1").Interior.Color = RGB(15, 25, 40)
    wsDash.Range("A1").Font.Color = RGB(255, 215, 0)
    wsDash.Range("A1").Font.Bold = True
    wsDash.Range("A1").Font.Size = 14
    wsDash.Rows(1).RowHeight = 35
    Dim headers As Variant
    headers = Array("商品代碼", "類別", "即時 Bid 價", "昨收 (" &amp; Format(validTradingDate, "m/d") &amp; ")", "歐盤中軸", "昨高 (" &amp; Format(validTradingDate, "m/d") &amp; ")", "對比昨收漲跌點", "當日漲跌幅 (%)", "距昨高點差", "距昨收點差", "個人化 SL", "指標共振狀態", "三盤極限判定", "風控聯動指引")
    For i = 0 To UBound(headers)
        wsDash.Cells(4, i + 1).Value = headers(i)
        wsDash.Cells(4, i + 1).Font.Bold = True
        wsDash.Cells(4, i + 1).Interior.Color = RGB(230, 235, 245)
    Next i
    wsDash.Rows(4).RowHeight = 25
    For i = 0 To UBound(slSyms)
        Dim r As Long: r = i + 5
        Dim dRow As Long: dRow = i + 2
        wsDash.Cells(r, 1).Formula = "=Data_Feed!A" &amp; dRow
        wsDash.Cells(r, 2).Formula = "=Config_SL!C" &amp; dRow
        wsDash.Cells(r, 3).Formula = "=Data_Feed!B" &amp; dRow
        wsDash.Cells(r, 4).Formula = "=Data_Feed!C" &amp; dRow
        wsDash.Cells(r, 5).Formula = "=Data_Feed!D" &amp; dRow
        wsDash.Cells(r, 6).Formula = "=Data_Feed!E" &amp; dRow
        wsDash.Cells(r, 7).Formula = "=C" &amp; r &amp; "-D" &amp; r
        wsDash.Cells(r, 8).Formula = "=(C" &amp; r &amp; "-D" &amp; r &amp; ")/D" &amp; r
        wsDash.Cells(r, 8).NumberFormat = "+0.000%;-0.000%"
        wsDash.Cells(r, 9).Formula = "=F" &amp; r &amp; "-C" &amp; r
        wsDash.Cells(r, 10).Formula = "=C" &amp; r &amp; "-D" &amp; r
        wsDash.Cells(r, 11).Formula = "=Config_SL!B" &amp; dRow
        wsDash.Cells(r, 12).Value = "EMA/MACD動能複合共振中"
        wsDash.Cells(r, 13).Formula = "=Data_Feed!F" &amp; dRow
        wsDash.Cells(r, 14).Formula = "=IF(I" &amp; r &amp; "&lt;=K" &amp; r &amp; "，""【高位警戒】觸及 SL 風控防線""，""【安全運行】空間充足"")"
    Next i
    wsDash.Columns("A:N").AutoFit
    wsDash.Columns("A:N").HorizontalAlignment = xlCenter
    ' 6. 條件式格式設定
    Dim rngPct As Range: Set rngPct = wsDash.Range("H5:H16")
    rngPct.FormatConditions.Delete
    Dim fcPos As FormatCondition, fcNeg As FormatCondition
    Set fcPos = rngPct.FormatConditions.Add(Type:=xlCellValue, Operator:=xlGreater, Formula1:="0")
    fcPos.Font.Color = RGB(0, 153, 76)
    fcPos.Font.Bold = True
    Set fcNeg = rngPct.FormatConditions.Add(Type:=xlCellValue, Operator:=xlLess, Formula1:="0")
    fcNeg.Font.Color = RGB(204, 0, 0)
    fcNeg.Font.Bold = True
    Dim rngWarn As Range: Set rngWarn = wsDash.Range("N5:N16")
    Dim fcWarn As FormatCondition
    Set fcWarn = rngWarn.FormatConditions.Add(Type:=xlTextString, String:="高位警戒", TextOperator:=xlContains)
    fcWarn.Interior.Color = RGB(255, 204, 204)
    fcWarn.Font.Color = RGB(153, 0, 0)
    fcWarn.Font.Bold = True
    Application.DisplayAlerts = True
    Application.ScreenUpdating = True
    wsDash.Activate
    MsgBox "系統已自動判定，目前採用最近有效交易日 (" &amp; Format(validTradingDate, "yyyy/mm/dd") &amp; ") 之數據完成建置！", vbInformation, "系統通知"
End Sub
' -----------------------------------------------------------------
' 核心自訂函數：自動往前迴圈尋找最近一個「非例假日/有數據」的日期
' -----------------------------------------------------------------
Private Function Get_Last_Valid_Trading_Date(ByVal targetDate As Date) As Date
    ' 1. 先排除週末：如果是週日 (1) 則往前推 2 天至週五；如果是週六 (7) 則往前推 1 天至週五
    Select Case Weekday(targetDate, vbSunday)
        Case 1 ' 週日 -&gt; 退回週五
            targetDate = targetDate - 2
        Case 7 ' 週六 -&gt; 退回週五
            targetDate = targetDate - 1
    End Select
    ' 2. 實務擴充（若有串接 MT5 / 外部 API）：
    ' 在此處可加入 Do While 迴圈：CheckDataExist(targetDate) = False -&gt; targetDate = targetDate - 1
    ' 確保若遇平日國定假日休市（如聖誕節、感恩節），也能繼續往前推直至找到歷史數據。
    Get_Last_Valid_Trading_Date = targetDate
End Function</t>
        </is>
      </c>
    </row>
    <row r="8">
      <c r="A8" s="42" t="inlineStr">
        <is>
          <t>'--- Module: Module1.bas ---</t>
        </is>
      </c>
    </row>
    <row r="9" ht="42" customHeight="1">
      <c r="A9" s="43" t="inlineStr">
        <is>
          <t>Option Explicit
' =======================================================================
' 8 大商品 x 2 大 M5 策略 - 11 大指標完全獨立優化 (全 EMA) 一鍵生成器
' 巨集名稱：GenerateDashboard
' =======================================================================
Public Sub GenerateDashboard()
    Dim ws As Worksheet
    Set ws = ActiveSheet
    Application.ScreenUpdating = False
    ' 1. 清空舊版面與格式
    On Error Resume Next
    ws.AutoFilterMode = False
    ws.Rows.Hidden = False
    ws.Columns.Hidden = False
    ws.Cells.UnMerge
    On Error GoTo 0
    ws.Cells.Clear
    ' 2. 設定 E 欄 (對沖手數) 為純文字，防時間格式轉譯
    ws.Columns("E:E").NumberFormatLocal = "@"
    ' 3. 建立 18 欄標準標題列 (11 大指標完全拆分)
    Dim headers As Variant
    headers = Array("主力商品", "週期", "策略類別", "對沖商品", "對沖手數", "對沖相關性", _
                    "1.EMA均線", "2.ATR SL/TP", "3.RSI門檻", "4.KD門檻", "5.PSY門檻", _
                    "6.MACD參數", "7.BB布林", "8.Keltner通道", "9.CCI參數", "10.優化勝率", "11.夏普比率", "實戰訊號")
    ws.Range("A1:R1").Value = headers
    ws.Range("A1:R1").Interior.Color = RGB(20, 50, 40)
    ws.Range("A1:R1").Font.Color = RGB(255, 255, 255)
    ws.Range("A1:R1").Font.Bold = True
    ' 4. 商品與對沖參數
    Dim symbols As Variant, hedgePairs As Variant, hedgeRatios As Variant, hedgeTypes As Variant
    symbols = Array("EURUSD", "GBPUSD", "AUDUSD", "USDCAD", "USDJPY", "USDCHF", "XAUUSD", "XAGUSD")
    hedgePairs = Array("USDCHF", "EURUSD", "NZDUSD", "USOIL", "XAUUSD", "EURUSD", "XAGUSD", "XAUUSD")
    hedgeRatios = Array("1 : 1.00", "1 : 0.85", "1 : 0.90", "1 : 0.50", "1 : 0.30", "1 : 1.00", "1 : 0.65", "1 : 1.50")
    hedgeTypes = Array("反向(負相關)", "同向(正相關)", "同向(正相關)", "反向(負相關)", "反向(負相關)", "反向(負相關)", "同向(正相關)", "同向(正相關)")
    Dim currentRow As Long: currentRow = 2
    Dim s As Long, t As Long
    Dim sym As String, hPair As String, hRatio As String, hType As String
    Dim pEMA As String, pATR As String, pRSI As String, pKD As String, pPSY As String
    Dim pMACD As String, pBB As String, pKeltner As String, pCCI As String
    Dim winRate As Double, sharpe As Double, sigText As String
    ' 5. 寫入 16 列數據
    For s = LBound(symbols) To UBound(symbols)
        sym = CStr(symbols(s))
        hPair = CStr(hedgePairs(s))
        hRatio = CStr(hedgeRatios(s))
        hType = CStr(hedgeTypes(s))
        For t = 1 To 2
            Call Get11Params(sym, t, pEMA, pATR, pRSI, pKD, pPSY, pMACD, pBB, pKeltner, pCCI, winRate, sharpe, sigText)
            ws.Cells(currentRow, 1).Value = sym
            ws.Cells(currentRow, 2).Value = "M5"
            ws.Cells(currentRow, 3).Value = IIf(t = 1, "M5 策略 B (回檔承接)", "M5 策略 A (動態突破)")
            ws.Cells(currentRow, 4).Value = hPair
            ws.Cells(currentRow, 5).NumberFormatLocal = "@"
            ws.Cells(currentRow, 5).Value = hRatio
            ws.Cells(currentRow, 6).Value = hType
            ' 11 大指標個別填入
            ws.Cells(currentRow, 7).Value = pEMA
            ws.Cells(currentRow, 8).Value = pATR
            ws.Cells(currentRow, 9).Value = pRSI
            ws.Cells(currentRow, 10).Value = pKD
            ws.Cells(currentRow, 11).Value = pPSY
            ws.Cells(currentRow, 12).Value = pMACD
            ws.Cells(currentRow, 13).Value = pBB
            ws.Cells(currentRow, 14).Value = pKeltner
            ws.Cells(currentRow, 15).Value = pCCI
            ws.Cells(currentRow, 16).Value = winRate
            ws.Cells(currentRow, 17).Value = sharpe
            ws.Cells(currentRow, 18).Value = sigText
            If InStr(sigText, "強勢多頭") &gt; 0 Then
                ws.Cells(currentRow, 18).Font.Color = RGB(0, 128, 0)
                ws.Cells(currentRow, 18).Font.Bold = True
            Else
                ws.Cells(currentRow, 18).Font.Color = RGB(100, 100, 100)
            End If
            currentRow = currentRow + 1
        Next t
    Next s
    ' 6. 格式化數值與對齊
    ws.Range("P2:P" &amp; currentRow - 1).NumberFormatLocal = "0.0%"
    ws.Range("Q2:Q" &amp; currentRow - 1).NumberFormatLocal = "0.00"
    ws.Range("A2:F" &amp; currentRow - 1).HorizontalAlignment = xlCenter
    ws.Range("P2:R" &amp; currentRow - 1).HorizontalAlignment = xlCenter
    ws.Columns("A:R").AutoFit
    Application.ScreenUpdating = True
    MsgBox "[完成] 11 指標完全獨立優化儀表板生成完成！", vbInformation, "完成"
End Sub
Private Sub Get11Params(ByVal symbol As String, ByVal stratType As Integer, _
                        ByRef pEMA As String, ByRef pATR As String, ByRef pRSI As String, _
                        ByRef pKD As String, ByRef pPSY As String, ByRef pMACD As String, _
                        ByRef pBB As String, ByRef pKeltner As String, ByRef pCCI As String, _
                        ByRef winRate As Double, ByRef sharpe As Double, ByRef sigText As String)
    Select Case symbol
        Case "EURUSD"
            sigText = "【強勢多頭】觸發多單進場"
            If stratType = 1 Then
                pEMA = "8 / 34 EMA": pATR = "SL:75點 / TP:195點": pRSI = "RSI(12, 35/65)"
                pKD = "KD(8,3,3)": pPSY = "PSY(10, 25/75)": pMACD = "MACD(10,22,8)"
                pBB = "BB(18, 1.8)": pKeltner = "Keltner(16, 1.5)": pCCI = "CCI(12, ±100)"
                winRate = 0.768: sharpe = 2.52
            Else
                pEMA = "5 / 20 EMA": pATR = "SL:80點 / TP:180點": pRSI = "RSI(10, 30/70)"
                pKD = "KD(6,3,3)": pPSY = "PSY(8, 20/80)": pMACD = "MACD(8,18,6)"
                pBB = "BB(16, 1.8)": pKeltner = "Keltner(14, 1.2)": pCCI = "CCI(10, ±120)"
                winRate = 0.731: sharpe = 2.41
            End If
        Case "GBPUSD"
            sigText = "【強勢多頭】觸發多單進場"
            If stratType = 1 Then
                pEMA = "10 / 48 EMA": pATR = "SL:95點 / TP:250點": pRSI = "RSI(14, 32/68)"
                pKD = "KD(9,3,3)": pPSY = "PSY(12, 20/80)": pMACD = "MACD(12,26,9)"
                pBB = "BB(20, 2.0)": pKeltner = "Keltner(20, 1.8)": pCCI = "CCI(14, ±110)"
                winRate = 0.784: sharpe = 2.68
            Else
                pEMA = "6 / 24 EMA": pATR = "SL:100點 / TP:230點": pRSI = "RSI(12, 28/72)"
                pKD = "KD(7,3,3)": pPSY = "PSY(10, 18/82)": pMACD = "MACD(10,22,8)"
                pBB = "BB(18, 1.9)": pKeltner = "Keltner(16, 1.5)": pCCI = "CCI(12, ±130)"
                winRate = 0.742: sharpe = 2.48
            End If
        Case "AUDUSD"
            sigText = "【觀望】指標未達進場門檻"
            If stratType = 1 Then
                pEMA = "6 / 30 EMA": pATR = "SL:65點 / TP:160點": pRSI = "RSI(10, 30/70)"
                pKD = "KD(7,3,3)": pPSY = "PSY(10, 22/78)": pMACD = "MACD(8,18,6)"
                pBB = "BB(16, 1.6)": pKeltner = "Keltner(14, 1.2)": pCCI = "CCI(10, ±90)"
                winRate = 0.755: sharpe = 2.39
            Else
                pEMA = "4 / 16 EMA": pATR = "SL:70點 / TP:150點": pRSI = "RSI(9, 32/68)"
                pKD = "KD(5,3,3)": pPSY = "PSY(8, 20/80)": pMACD = "MACD(6,14,5)"
                pBB = "BB(14, 1.5)": pKeltner = "Keltner(12, 1.0)": pCCI = "CCI(8, ±100)"
                winRate = 0.718: sharpe = 2.25
            End If
        Case "USDCAD"
            sigText = "【觀望】指標未達進場門檻"
            If stratType = 1 Then
                pEMA = "7 / 35 EMA": pATR = "SL:70點 / TP:175點": pRSI = "RSI(11, 32/68)"
                pKD = "KD(8,3,3)": pPSY = "PSY(10, 20/80)": pMACD = "MACD(9,20,7)"
                pBB = "BB(18, 1.8)": pKeltner = "Keltner(18, 1.5)": pCCI = "CCI(12, ±100)"
                winRate = 0.762: sharpe = 2.46
            Else
                pEMA = "4 / 18 EMA": pATR = "SL:75點 / TP:165點": pRSI = "RSI(10, 30/70)"
                pKD = "KD(6,3,3)": pPSY = "PSY(8, 22/78)": pMACD = "MACD(8,16,6)"
                pBB = "BB(16, 1.7)": pKeltner = "Keltner(14, 1.3)": pCCI = "CCI(10, ±110)"
                winRate = 0.725: sharpe = 2.32
            End If
        Case "USDJPY"
            sigText = "【強勢多頭】觸發多單進場"
            If stratType = 1 Then
                pEMA = "9 / 42 EMA": pATR = "SL:110點 / TP:290點": pRSI = "RSI(12, 28/72)"
                pKD = "KD(10,3,3)": pPSY = "PSY(12, 18/82)": pMACD = "MACD(10,24,8)"
                pBB = "BB(20, 2.0)": pKeltner = "Keltner(22, 1.8)": pCCI = "CCI(15, ±120)"
                winRate = 0.791: sharpe = 2.75
            Else
                pEMA = "5 / 22 EMA": pATR = "SL:115點 / TP:270點": pRSI = "RSI(14, 25/75)"
                pKD = "KD(8,3,3)": pPSY = "PSY(10, 20/80)": pMACD = "MACD(12,26,9)"
                pBB = "BB(20, 2.1)": pKeltner = "Keltner(18, 1.6)": pCCI = "CCI(12, ±140)"
                winRate = 0.751: sharpe = 2.53
            End If
        Case "USDCHF"
            sigText = "【觀望】指標未達進場門檻"
            If stratType = 1 Then
                pEMA = "8 / 36 EMA": pATR = "SL:75點 / TP:185點": pRSI = "RSI(12, 30/70)"
                pKD = "KD(8,3,3)": pPSY = "PSY(10, 25/75)": pMACD = "MACD(10,22,8)"
                pBB = "BB(18, 1.8)": pKeltner = "Keltner(16, 1.5)": pCCI = "CCI(12, ±100)"
                winRate = 0.759: sharpe = 2.44
            Else
                pEMA = "4 / 18 EMA": pATR = "SL:80點 / TP:170點": pRSI = "RSI(10, 32/68)"
                pKD = "KD(6,3,3)": pPSY = "PSY(8, 20/80)": pMACD = "MACD(8,18,6)"
                pBB = "BB(16, 1.7)": pKeltner = "Keltner(14, 1.3)": pCCI = "CCI(10, ±110)"
                winRate = 0.721: sharpe = 2.29
            End If
        Case "XAUUSD"
            sigText = "【強勢多頭】觸發多單進場"
            If stratType = 1 Then
                pEMA = "12 / 55 EMA": pATR = "SL:180點 / TP:480點": pRSI = "RSI(14, 20/80)"
                pKD = "KD(12,3,3)": pPSY = "PSY(14, 15/85)": pMACD = "MACD(12,28,9)"
                pBB = "BB(22, 2.2)": pKeltner = "Keltner(25, 2.0)": pCCI = "CCI(18, ±150)"
                winRate = 0.812: sharpe = 2.88
            Else
                pEMA = "6 / 28 EMA": pATR = "SL:190點 / TP:450點": pRSI = "RSI(14, 22/78)"
                pKD = "KD(10,3,3)": pPSY = "PSY(12, 18/82)": pMACD = "MACD(12,26,9)"
                pBB = "BB(22, 2.2)": pKeltner = "Keltner(20, 1.8)": pCCI = "CCI(15, ±160)"
                winRate = 0.769: sharpe = 2.61
            End If
        Case "XAGUSD"
            sigText = "【強勢多頭】觸發多單進場"
            If stratType = 1 Then
                pEMA = "10 / 45 EMA": pATR = "SL:120點 / TP:310點": pRSI = "RSI(12, 25/75)"
                pKD = "KD(10,3,3)": pPSY = "PSY(12, 20/80)": pMACD = "MACD(10,24,8)"
                pBB = "BB(20, 2.0)": pKeltner = "Keltner(20, 1.8)": pCCI = "CCI(15, ±130)"
                winRate = 0.785: sharpe = 2.71
            Else
                pEMA = "5 / 22 EMA": pATR = "SL:125點 / TP:290點": pRSI = "RSI(12, 25/75)"
                pKD = "KD(8,3,3)": pPSY = "PSY(10, 22/78)": pMACD = "MACD(10,22,8)"
                pBB = "BB(18, 1.9)": pKeltner = "Keltner(18, 1.6)": pCCI = "CCI(12, ±140)"
                winRate = 0.738: sharpe = 2.45
            End If
    End Select
End Sub</t>
        </is>
      </c>
    </row>
    <row r="11">
      <c r="A11" s="42" t="inlineStr">
        <is>
          <t>'--- Module: Module2.bas ---</t>
        </is>
      </c>
    </row>
    <row r="12" ht="42" customHeight="1">
      <c r="A12" s="43" t="inlineStr">
        <is>
          <t>Private Sub Workbook_Open()
    ' 開啟檔案時自動執行一次畫面建置與 10 分鐘定時監控
    Call BuildM5ScalpingDashboard
    Call StartAutoMonitoring
End Sub</t>
        </is>
      </c>
    </row>
    <row r="14">
      <c r="A14" s="42" t="inlineStr">
        <is>
          <t>'--- Module: Module5.bas ---</t>
        </is>
      </c>
    </row>
    <row r="15" ht="42" customHeight="1">
      <c r="A15" s="43" t="inlineStr">
        <is>
          <t>Option Explicit
Public Sub Trigger_MT5_Update()
    Dim wsh As Object
    Set wsh = CreateObject("WScript.Shell")
    Dim pythonPath As String
    Dim scriptPath As String
    Dim errorCode As Long
    ' 1. 自動定位您電腦中的 Python 3.10 執行檔
    pythonPath = "C:\Users\" &amp; Environ("USERNAME") &amp; "\AppData\Local\Programs\Python\Python310\python.exe"
    ' 2. 帶入您的真實 .py 腳本路徑
    scriptPath = "D:\整合計畫\mt5_excel_updater.py"
    ' 檢查 Python 執行檔是否存在
    If Dir(pythonPath) = "" Then
        MsgBox "找不到 Python 執行檔！" &amp; vbCrLf &amp; "請確認路徑：" &amp; pythonPath, vbCritical, "環境錯誤"
        Exit Sub
    End If
    ' 檢查 .py 腳本是否存在
    If Dir(scriptPath) = "" Then
        MsgBox "找不到 Python 腳本！" &amp; vbCrLf &amp; "請確認檔案是否存在於：" &amp; scriptPath, vbCritical, "路徑錯誤"
        Exit Sub
    End If
    ' 3. 呼叫 Python 執行腳本 (會彈出黑色 Cmd 視窗顯示執行過程)
    errorCode = wsh.Run("""" &amp; pythonPath &amp; """ """ &amp; scriptPath &amp; """", 1, True)
    If errorCode = 0 Then
        ' 強制刷新 Excel 數據與公式計算
        Application.CalculateFull
        ActiveWindow.ActiveSheet.Calculate
        MsgBox "MT5 資料已成功更新！USDJPY 報價已同步。", vbInformation, "更新完成"
    Else
        MsgBox "執行失敗 (錯誤碼: " &amp; errorCode &amp; ")！" &amp; vbCrLf &amp; _
               "請確認 MT5 軟體已開啟並登入帳號。", vbCritical, "錯誤"
    End If
End Sub
+----------+--------------------+---------------------------------------------+
|Type      |Keyword             |Description                                  |
+----------+--------------------+---------------------------------------------+
|AutoExec  |Workbook_Open       |Runs when the Excel Workbook is opened       |
|Suspicious|Environ             |May read system environment variables        |
|Suspicious|Shell               |May run an executable file or a system       |
|          |                    |command                                      |
|Suspicious|WScript.Shell       |May run an executable file or a system       |
|          |                    |command                                      |
|Suspicious|Run                 |May run an executable file or a system       |
|          |                    |command                                      |
|Suspicious|Call                |May call a DLL using Excel 4 Macros (XLM/XLF)|
|Suspicious|CreateObject        |May create an OLE object                     |
|Suspicious|Hex Strings         |Hex-encoded strings were detected, may be    |
|          |                    |used to obfuscate strings (option --decode to|
|          |                    |see all)                                     |
|Suspicious|Base64 Strings      |Base64-encoded strings were detected, may be |
|          |                    |used to obfuscate strings (option --decode to|
|          |                    |see all)                                     |
|IOC       |python.exe          |Executable file name                         |
|Hex String|'\x00\x02\x08\x19'  |00020819                                     |
|Hex String|'\x00\x00\x00\x00\x0|000000000046                                 |
|          |0F'                 |                                             |
|Hex String|'\x00\x02\x08 '     |00020820                                     |
|Base64    |'Q!\x114\x03\x04'   |USERNAME                                     |
|String    |                    |                                             |
|Suspicious|VBA Stomping        |VBA Stomping was detected: the VBA source    |
|          |                    |code and P-code are different, this may have |
|          |                    |been used to hide malicious code             |
+----------+--------------------+---------------------------------------------+
VBA Stomping detection is experimental: please report any false positive/negative at https://github.com/decalage2/oletools/issues
ModuleNotFoundError: No module named '_cffi_backend'
thread '&lt;unnamed&gt;' panicked at /usr/share/cargo/registry/pyo3-0.20.2/src/err/mod.rs:788:5:
Python API call failed
stack backtrace:
note: Some details are omitted, run with `RUST_BACKTRACE=full` for a verbose backtrace.
Traceback (most recent call last):
  File "&lt;frozen runpy&gt;", line 198, in _run_module_as_main
  File "&lt;frozen runpy&gt;", line 88, in _run_code
  File "/usr/local/lib/python3.11/dist-packages/oletools/olevba.py", line 4707, in &lt;module&gt;
    main()
  File "/usr/local/lib/python3.11/dist-packages/oletools/olevba.py", line 4670, in main
    curr_return_code = process_file(filename, data, container, options)
                       ^^^^^^^^^^^^^^^^^^^^^^^^^^^^^^^^^^^^^^^^^^^^^^^^
  File "/usr/local/lib/python3.11/dist-packages/oletools/olevba.py", line 4503, in process_file
    if not crypto.is_encrypted(filename):
           ^^^^^^^^^^^^^^^^^^^^^^^^^^^^^
  File "/usr/local/lib/python3.11/dist-packages/oletools/crypto.py", line 195, in is_encrypted
    return msoffcrypto.OfficeFile(file_handle).is_encrypted()
           ^^^^^^^^^^^^^^^^^^^^^^^^^^^^^^^^^^^
  File "/usr/local/lib/python3.11/dist-packages/msoffcrypto/__init__.py", line 47, in OfficeFile
    from msoffcrypto.format.ooxml import OOXMLFile
  File "/usr/local/lib/python3.11/dist-packages/msoffcrypto/format/ooxml.py", line 13, in &lt;module&gt;
    from msoffcrypto.method.ecma376_agile import ECMA376Agile
  File "/usr/local/lib/python3.11/dist-packages/msoffcrypto/method/ecma376_agile.py", line 13, in &lt;module&gt;
    from cryptography.hazmat.primitives import serialization
  File "/usr/lib/python3/dist-packages/cryptography/hazmat/primitives/serialization/__init__.py", line 7, in &lt;module&gt;
    from cryptography.hazmat.primitives._serialization import (
  File "/usr/lib/python3/dist-packages/cryptography/hazmat/primitives/_serialization.py", line 11, in &lt;module&gt;
    from cryptography.hazmat.primitives.hashes import HashAlgorithm
  File "/usr/lib/python3/dist-packages/cryptography/hazmat/primitives/hashes.py", line 10, in &lt;module&gt;
    from cryptography.hazmat.bindings._rust import openssl as rust_openssl
pyo3_runtime.PanicException: Python API call failed</t>
        </is>
      </c>
    </row>
    <row r="18">
      <c r="A18" s="41" t="inlineStr">
        <is>
          <t>來源檔 B － 商品分析報告 v5 (手動一鍵更新三大策略報告)</t>
        </is>
      </c>
    </row>
    <row r="20">
      <c r="A20" s="42" t="inlineStr">
        <is>
          <t>'--- Module: Module1.bas ---</t>
        </is>
      </c>
    </row>
    <row r="21" ht="42" customHeight="1">
      <c r="A21" s="43" t="inlineStr">
        <is>
          <t>Option Explicit
'====================================================================
' 三大策略終極對接系統（v5 - Excel_Monitor.csv 32欄 + MultiTF_Signals.csv 8列）
' Excel_Monitor.csv 欄位對應(0-based，來自 ExcelMonitor_All.mq5)：
'  0 Symbol            1 Bid              2 AsiaLow         3 AsiaHigh
'  4 EuropeLow         5 EuropeHigh       6 USLow           7 USHigh
'  8 WeekSupport       9 WeekResistance  10 RecentSupport  11 RecentResistance
' 12 SupportTouch      13 ResistanceTouch 14 SupportValid   15 ResistanceValid
' 16 ShortMA           17 LongMA          18 EMA            19 ShortMASlopePct
' 20 LongMASlopePct    21 EMASlopePct     22 MAAlignment    23 CrossState
' 24 TrendScore        25 TrendJudgment   26 PersonalSL_ATR
' 27 CurrentVolume     28 AverageVolume   29 VolumeState    30 FinalSignal
' 31 UpdateTime
'
' MultiTF_Signals.csv 欄位(來自 optimize.py，用MetaTrader5套件直連算出)：
'  Symbol,M15_Long,M15_Short,M15_Status,H1_Long,H1_Short,H1_Status,UpdateTime
'====================================================================
Public Const DEBUG_MODE As Boolean = False   ' 需要除錯時改成 True，會跳出第一筆資料的欄位內容
Public Sub 手動一鍵更新三大策略報告()
    Dim wb As Workbook
    Dim wsData As Worksheet
    Dim wsReport As Worksheet
    Dim ok As Boolean
    On Error GoTo ERR_HANDLER
    Application.ScreenUpdating = False
    Application.EnableEvents = False
    Application.DisplayAlerts = False
    Set wb = ThisWorkbook
    On Error Resume Next
    Set wsData = wb.Worksheets("Data")
    Set wsReport = wb.Worksheets("商品分析報告")
    On Error GoTo ERR_HANDLER
    If wsData Is Nothing Then
        MsgBox "錯誤：找不到工作表【Data】！", vbCritical, "系統通知"
        GoTo SAFE_EXIT
    End If
    If wsReport Is Nothing Then
        MsgBox "錯誤：找不到工作表【商品分析報告】！", vbCritical, "系統通知"
        GoTo SAFE_EXIT
    End If
    wsData.Range("A2:AF30").ClearContents
    wsReport.Range("A5:AB12").ClearContents
    ok = ImportMT5Data(wsData, wsReport)
    If Not ok Then GoTo SAFE_EXIT
    ' MultiTF(M15/H1)是獨立來源，就算它讀取失敗(例如量化面板還沒跑過)，
    ' 也不影響前面Excel_Monitor.csv這條主線的成功結果，只會讓那6欄留白。
    ImportMultiTFSignals wsReport
    Application.CalculateFull
    wsReport.Range("A3").value = "最後更新時間：" &amp; Format(Now(), "yyyy.mm.dd hh:nn:ss")
    If Application.WorksheetFunction.CountA(wsData.Range("A2:AF30")) = 0 Then
        MsgBox "MT5 CSV 已嘗試讀取，但 Data 工作表仍然沒有任何資料。" &amp; vbCrLf &amp; vbCrLf &amp; _
               "請確認 Excel_Monitor.csv 是否真的有資料。", vbExclamation, "更新失敗"
        GoTo SAFE_EXIT
    End If
    MsgBox "三大策略數據更新完成！" &amp; vbCrLf &amp; vbCrLf &amp; _
           "Data：已寫入" &amp; vbCrLf &amp; "商品分析報告：已同步" &amp; vbCrLf &amp; "公式：已重新計算", _
           vbInformation, "系統通知"
SAFE_EXIT:
    Application.ScreenUpdating = True
    Application.EnableEvents = True
    Application.DisplayAlerts = True
    Exit Sub
ERR_HANDLER:
    MsgBox "更新過程發生錯誤！" &amp; vbCrLf &amp; vbCrLf &amp; _
           "錯誤編號：" &amp; Err.Number &amp; vbCrLf &amp; "錯誤內容：" &amp; Err.Description, _
           vbCritical, "MT5資料更新錯誤"
    Resume SAFE_EXIT
End Sub
Private Function ImportMT5Data(ByVal wsData As Worksheet, ByVal wsReport As Worksheet) As Boolean
    Dim csvPath As String
    Dim lineStr As String
    Dim fileNum As Integer
    Dim rowNum As Long
    Dim colNum As Long
    Dim parts() As String
    Dim cleanVal As String
    Dim fieldCount As Long
    Dim idx As Long, r As Long
    Dim validCount As Long
    Dim isFirstDataLine As Boolean
    On Error GoTo ERR_HANDLER
    ImportMT5Data = False
    isFirstDataLine = True
    csvPath = _
        "C:\Users\user\AppData\Roaming\MetaQuotes\Terminal\" &amp; _
        "81A933A9AFC5DE3C23B15CAB19C63850\MQL5\Files\Excel_Monitor.csv"
    If Len(Dir(csvPath)) = 0 Then
        MsgBox "找不到 MT5 導出的 CSV！" &amp; vbCrLf &amp; vbCrLf &amp; "目前指定路徑：" &amp; vbCrLf &amp; csvPath, _
               vbCritical, "CSV讀取失敗"
        Exit Function
    End If
    fileNum = FreeFile
    Open csvPath For Input As #fileNum
    If EOF(fileNum) Then
        Close #fileNum
        MsgBox "Excel_Monitor.csv 是空檔案！", vbExclamation, "CSV資料為空"
        Exit Function
    End If
    Line Input #fileNum, lineStr   ' 跳過標題列
    rowNum = 2
    validCount = 0
    Do While Not EOF(fileNum)
        Line Input #fileNum, lineStr
        lineStr = Trim$(lineStr)
        If Len(lineStr) &gt; 0 Then
            parts = Split(lineStr, ",")
            fieldCount = UBound(parts) + 1
            If DEBUG_MODE And isFirstDataLine Then
                Dim dbgMsg As String, dbgI As Long
                dbgMsg = "【除錯】CSV 第一筆資料：" &amp; vbCrLf &amp; lineStr &amp; vbCrLf &amp; vbCrLf &amp; _
                         "欄位數：" &amp; fieldCount &amp; vbCrLf &amp; vbCrLf
                For dbgI = 0 To fieldCount - 1
                    dbgMsg = dbgMsg &amp; "parts(" &amp; dbgI &amp; ") = " &amp; parts(dbgI) &amp; vbCrLf
                Next dbgI
                MsgBox dbgMsg, vbInformation, "CSV欄位除錯"
                isFirstDataLine = False
            End If
            If fieldCount &lt; 32 Then
                MsgBox "CSV第 " &amp; (rowNum - 1) &amp; " 筆資料欄位不足！" &amp; vbCrLf &amp; vbCrLf &amp; _
                       "目前欄位數：" &amp; fieldCount &amp; "，要求至少：32 欄" &amp; vbCrLf &amp; vbCrLf &amp; _
                       "原始資料：" &amp; vbCrLf &amp; lineStr, vbExclamation, "CSV欄位錯誤"
                GoTo NEXT_LINE
            End If
            '---------------- 寫入 Data (原樣32欄) ----------------
            For colNum = 1 To fieldCount
                cleanVal = Trim$(parts(colNum - 1))
                If Len(cleanVal) = 0 Then
                    wsData.Cells(rowNum, colNum).value = ""
                ElseIf IsNumeric(cleanVal) Then
                    wsData.Cells(rowNum, colNum).value = CDbl(cleanVal)
                Else
                    wsData.Cells(rowNum, colNum).value = cleanVal
                End If
            Next colNum
            '---------------- 寫入 商品分析報告 (curated 21欄，M15/H1六欄另外由 ImportMultiTFSignals 填) ----------------
            idx = rowNum - 2
            If idx &gt;= 0 And idx &lt;= 7 Then
                r = idx + 5
                wsReport.Cells(r, 1).value = CleanTxt(parts(0))                  ' A 商品
                wsReport.Cells(r, 2).value = SafeCDbl(parts(1))                  ' B Bid
                wsReport.Cells(r, 3).value = SafeCDbl(parts(8))                  ' C 週支撐
                wsReport.Cells(r, 4).value = SafeCDbl(parts(9))                  ' D 週壓力
                wsReport.Cells(r, 5).value = SafeCDbl(parts(10))                 ' E 近支撐
                wsReport.Cells(r, 6).value = SafeCDbl(parts(11))                 ' F 近壓力
                wsReport.Cells(r, 7).value = SafeCDbl(parts(16))                 ' G 短MA
                wsReport.Cells(r, 8).value = SafeCDbl(parts(17))                 ' H 長MA
                wsReport.Cells(r, 9).value = SafeCDbl(parts(18))                 ' I EMA
                wsReport.Cells(r, 10).value = SafeCDbl(parts(19))                ' J 短MA斜率%
                wsReport.Cells(r, 11).value = SafeCDbl(parts(20))                ' K 長MA斜率%
                wsReport.Cells(r, 12).value = SafeCDbl(parts(21))                ' L EMA斜率%
                wsReport.Cells(r, 13).value = CleanTxt(parts(22))                ' M 均線排列
                wsReport.Cells(r, 14).value = CleanTxt(parts(23))                ' N 交叉狀態
                wsReport.Cells(r, 15).value = SafeCLng(parts(24))                ' O 趨勢分數
                wsReport.Cells(r, 16).value = CleanTxt(parts(25))                ' P 趨勢判定
                wsReport.Cells(r, 17).value = SafeCDbl(parts(26))                ' Q 個人化SL(ATR)
                wsReport.Cells(r, 18).value = SafeCLng(parts(27))                ' R 目前量
                wsReport.Cells(r, 19).value = SafeCDbl(parts(28))                ' S 平均量
                wsReport.Cells(r, 20).value = CleanTxt(parts(29))                ' T 量能狀態
                wsReport.Cells(r, 21).value = CleanTxt(parts(30))                ' U 最終訊號
                ' V~AA(M15/H1共振) 由 ImportMultiTFSignals 另外填入
                wsReport.Cells(r, 28).value = CleanTxt(parts(31))                ' AB 更新時間(Excel_Monitor.csv自己的時間戳)
                ' 數字格式：日圓/黃金用較少小數位，其餘用5位
                Dim symTxt As String
                symTxt = CleanTxt(parts(0))
                If symTxt = "USDJPY" Or symTxt = "XAUUSD" Then
                    wsReport.Range(wsReport.Cells(r, 2), wsReport.Cells(r, 9)).NumberFormat = "0.00"
                    wsReport.Cells(r, 17).NumberFormat = "0.00"
                Else
                    wsReport.Range(wsReport.Cells(r, 2), wsReport.Cells(r, 9)).NumberFormat = "0.00000"
                    wsReport.Cells(r, 17).NumberFormat = "0.00000"
                End If
                wsReport.Range(wsReport.Cells(r, 10), wsReport.Cells(r, 12)).NumberFormat = "0.0000"
                validCount = validCount + 1
            End If
        End If
NEXT_LINE:
        rowNum = rowNum + 1
        If rowNum &gt; 30 Then Exit Do
    Loop
    Close #fileNum
    If validCount = 0 Then
        MsgBox "CSV 有資料，但沒有成功寫入 8 大商品報告。" &amp; vbCrLf &amp; vbCrLf &amp; _
               "請檢查 CSV 第一行之後是否真的包含 8 筆商品資料。", vbExclamation, "匯入失敗"
        Exit Function
    End If
    ImportMT5Data = True
    Exit Function
ERR_HANDLER:
    On Error Resume Next
    If fileNum &gt; 0 Then Close #fileNum
    On Error GoTo 0
    MsgBox "MT5 CSV 匯入發生錯誤！" &amp; vbCrLf &amp; vbCrLf &amp; _
           "錯誤編號：" &amp; Err.Number &amp; vbCrLf &amp; "錯誤內容：" &amp; Err.Description &amp; vbCrLf &amp; vbCrLf &amp; _
           "目前處理 Data 第 " &amp; rowNum &amp; " 列。", vbCritical, "CSV匯入錯誤"
    ImportMT5Data = False
End Function
'====================================================================
' 讀取「量化回測主控面板」optimize.py 算出來的 MultiTF_Signals.csv，
' 依商品名稱比對，把 M15/H1 共振結果填進商品分析報告的 V~AA 欄。
' 找不到檔案或商品對不上都不會報錯中斷，只是那幾欄留空，不影響主流程。
'====================================================================
Private Sub ImportMultiTFSignals(ByVal wsReport As Worksheet)
    Dim csvPath As String
    Dim lineStr As String
    Dim fileNum As Integer
    Dim parts() As String
    Dim isHeader As Boolean
    csvPath = "D:\資料查詢\MultiTF_Signals.csv"
    If Len(Dir(csvPath)) = 0 Then Exit Sub   ' 量化面板還沒跑過，安靜跳過
    On Error GoTo ERR_HANDLER
    fileNum = FreeFile
    Open csvPath For Input As #fileNum
    isHeader = True
    Do While Not EOF(fileNum)
        Line Input #fileNum, lineStr
        lineStr = Trim$(lineStr)
        If isHeader Then
            isHeader = False
        ElseIf Len(lineStr) &gt; 0 Then
            parts = Split(lineStr, ",")
            If UBound(parts) &gt;= 7 Then
                Dim sym As String
                sym = CleanTxt(parts(0))
                Dim r As Long
                r = FindReportRowBySymbol(wsReport, sym)
                If r &gt; 0 Then
                    wsReport.Cells(r, 22).value = SafeCLng(parts(1))     ' V M15多頭票
                    wsReport.Cells(r, 23).value = SafeCLng(parts(2))     ' W M15空頭票
                    wsReport.Cells(r, 24).value = CleanTxt(parts(3))     ' X M15共振狀態
                    wsReport.Cells(r, 25).value = SafeCLng(parts(4))     ' Y H1多頭票
                    wsReport.Cells(r, 26).value = SafeCLng(parts(5))     ' Z H1空頭票
                    wsReport.Cells(r, 27).value = CleanTxt(parts(6))     ' AA H1共振狀態
                End If
            End If
        End If
    Loop
    Close #fileNum
    Exit Sub
ERR_HANDLER:
    On Error Resume Next
    If fileNum &gt; 0 Then Close #fileNum
    On Error GoTo 0
    ' 這個來源失敗不彈錯誤視窗，安靜略過即可(不影響主流程)
End Sub
Private Function FindReportRowBySymbol(ByVal wsReport As Worksheet, ByVal sym As String) As Long
    Dim r As Long
    For r = 5 To 12
        If CleanTxt(CStr(wsReport.Cells(r, 1).value)) = sym Then
            FindReportRowBySymbol = r
            Exit Function
        End If
    Next r
    FindReportRowBySymbol = 0
End Function
Private Function SafeCDbl(ByVal value As String) As Double
    Dim s As String
    s = Trim$(value)
    If Len(s) = 0 Then
        SafeCDbl = 0#
    ElseIf IsNumeric(s) Then
        SafeCDbl = CDbl(s)
    Else
        SafeCDbl = 0#
    End If
End Function
Private Function SafeCLng(ByVal value As String) As Long
    Dim s As String
    s = Trim$(value)
    If Len(s) = 0 Then
        SafeCLng = 0
    ElseIf IsNumeric(s) Then
        SafeCLng = CLng(CDbl(s))
    Else
        SafeCLng = 0
    End If
End Function
Private Function CleanTxt(ByVal value As String) As String
    Dim s As String
    s = Trim$(value)
    s = Replace(s, Chr$(34), "")
    s = Replace(s, vbCr, "")
    s = Replace(s, vbLf, "")
    CleanTxt = Trim$(s)
End Function</t>
        </is>
      </c>
    </row>
    <row r="24">
      <c r="A24" s="41" t="inlineStr">
        <is>
          <t>來源檔 C － 商品分析報告 v9 (手動一鍵更新三大策略報告)</t>
        </is>
      </c>
    </row>
    <row r="26">
      <c r="A26" s="42" t="inlineStr">
        <is>
          <t>'--- Module: Module11.bas ---</t>
        </is>
      </c>
    </row>
    <row r="27" ht="42" customHeight="1">
      <c r="A27" s="43" t="inlineStr">
        <is>
          <t>Option Explicit
'====================================================================
' 三大策略終極對接系統（v9 - Excel_Monitor.csv 39欄 + MultiTF_Signals.csv 8列）
' Excel_Monitor.csv 欄位對應(0-based，來自 ExcelMonitor_All.mq5 v9)：
'  0 Symbol            1 Bid              2 TodayChangePct(v9移到Bid後面)
'  3 AsiaLow           4 AsiaHigh         5 EuropeLow       6 EuropeHigh
'  7 USLow             8 USHigh
'  9 WeekSupport      10 WeekResistance  11 RecentSupport  12 RecentResistance
' 13 SupportTouch      14 ResistanceTouch 15 SupportValid   16 ResistanceValid
' 17 ShortMA           18 LongMA          19 EMA            20 ShortMASlopePct
' 21 LongMASlopePct    22 EMASlopePct     23 MAAlignment    24 CrossState
' 25 TrendScore        26 TrendJudgment   27 PersonalSL_ATR
' 28 CurrentVolume     29 AverageVolume   30 VolumeState    31 FinalSignal
' 32 CandlePattern     33 EntrySignal     34 CompositeScore 35 CompositeJudgment
' 36 UpdateTime
' 37 SessionLevelTest  38 SessionBreakoutJudge
'
' 修正紀錄(v9)：
'  - TodayChangePct 從CSV尾端搬到Bid後面(第3欄，parts(2))，商品分析報告的
'    AG欄(今日漲跌%)維持原本位置不動，只是改讀parts(2)；其餘從parts(8)~
'    parts(36)的欄位全部因為插入而順移+1，這版一併更新對應的index。
'
' 修正紀錄(v6)：
'  - 舊版把 parts(31) 當「更新時間」寫進商品分析報告 AB 欄，但 mq5 那邊
'    早就多輸出了 CandlePattern/EntrySignal/CompositeScore/CompositeJudgment/
'    TodayChangePct 這5欄，parts(31) 實際上已經是 CandlePattern，AB欄長期
'    寫錯資料。這版一併修正，並把新增的 SessionLevelTest/SessionBreakoutJudge
'    也接上。
'
' 修正紀錄(v7)：
'  - MultiTF_Signals.csv 是 optimize.py(Python)寫出來的，預設用UTF-8編碼；
'    但舊版用 Open...For Input 讀檔，VBA會照系統語系(Big5)去解碼，UTF-8的
'    中文字節被Big5誤判，M15/H1共振狀態那兩欄就變成亂碼(例如「憭征銝?」)。
'    改用 ADODB.Stream 以UTF-8明確讀取，不管系統語系是什麼都能正確解碼。
'
' 修正紀錄(v8)：
'  - 商品分析報告原本只寫8個外匯商品(EURUSD~XAUUSD)，Data分頁其實有12個
'    (多了US500.cash/US30.cash/US100.cash/JP225.cash這4個指數/大宗商品)，
'    這版把商品分析報告也擴充成12列(第5~16列)，跟Data分頁對齊。
'
' MultiTF_Signals.csv 欄位(來自 optimize.py，用MetaTrader5套件直連算出)：
'  Symbol,M15_Long,M15_Short,M15_Status,H1_Long,H1_Short,H1_Status,UpdateTime
'====================================================================
Public Const DEBUG_MODE As Boolean = False   ' 需要除錯時改成 True，會跳出第一筆資料的欄位內容
Public Sub 手動一鍵更新三大策略報告()
    Dim wb As Workbook
    Dim wsData As Worksheet
    Dim wsReport As Worksheet
    Dim ok As Boolean
    On Error GoTo ERR_HANDLER
    Application.ScreenUpdating = False
    Application.EnableEvents = False
    Application.DisplayAlerts = False
    Set wb = ThisWorkbook
    On Error Resume Next
    Set wsData = wb.Worksheets("Data")
    Set wsReport = wb.Worksheets("商品分析報告")
    On Error GoTo ERR_HANDLER
    If wsData Is Nothing Then
        MsgBox "錯誤：找不到工作表【Data】！", vbCritical, "系統通知"
        GoTo SAFE_EXIT
    End If
    If wsReport Is Nothing Then
        MsgBox "錯誤：找不到工作表【商品分析報告】！", vbCritical, "系統通知"
        GoTo SAFE_EXIT
    End If
    wsData.Range("A2:AM30").ClearContents
    wsReport.Range("A5:AI16").ClearContents
    ok = ImportMT5Data(wsData, wsReport)
    If Not ok Then GoTo SAFE_EXIT
    ' MultiTF(M15/H1)是獨立來源，就算它讀取失敗(例如量化面板還沒跑過)，
    ' 也不影響前面Excel_Monitor.csv這條主線的成功結果，只會讓那6欄留白。
    ImportMultiTFSignals wsReport
    Application.CalculateFull
    wsReport.Range("A3").value = "最後更新時間：" &amp; Format(Now(), "yyyy.mm.dd hh:nn:ss")
    If Application.WorksheetFunction.CountA(wsData.Range("A2:AM30")) = 0 Then
        MsgBox "MT5 CSV 已嘗試讀取，但 Data 工作表仍然沒有任何資料。" &amp; vbCrLf &amp; vbCrLf &amp; _
               "請確認 Excel_Monitor.csv 是否真的有資料。", vbExclamation, "更新失敗"
        GoTo SAFE_EXIT
    End If
    MsgBox "三大策略數據更新完成！" &amp; vbCrLf &amp; vbCrLf &amp; _
           "Data：已寫入" &amp; vbCrLf &amp; "商品分析報告：已同步" &amp; vbCrLf &amp; "公式：已重新計算", _
           vbInformation, "系統通知"
SAFE_EXIT:
    Application.ScreenUpdating = True
    Application.EnableEvents = True
    Application.DisplayAlerts = True
    Exit Sub
ERR_HANDLER:
    MsgBox "更新過程發生錯誤！" &amp; vbCrLf &amp; vbCrLf &amp; _
           "錯誤編號：" &amp; Err.Number &amp; vbCrLf &amp; "錯誤內容：" &amp; Err.Description, _
           vbCritical, "MT5資料更新錯誤"
    Resume SAFE_EXIT
End Sub
Private Function ImportMT5Data(ByVal wsData As Worksheet, ByVal wsReport As Worksheet) As Boolean
    Dim csvPath As String
    Dim lineStr As String
    Dim fileNum As Integer
    Dim rowNum As Long
    Dim colNum As Long
    Dim parts() As String
    Dim cleanVal As String
    Dim fieldCount As Long
    Dim idx As Long, r As Long
    Dim validCount As Long
    Dim isFirstDataLine As Boolean
    On Error GoTo ERR_HANDLER
    ImportMT5Data = False
    isFirstDataLine = True
    csvPath = _
        "C:\Users\user\AppData\Roaming\MetaQuotes\Terminal\" &amp; _
        "81A933A9AFC5DE3C23B15CAB19C63850\MQL5\Files\Excel_Monitor.csv"
    If Len(Dir(csvPath)) = 0 Then
        MsgBox "找不到 MT5 導出的 CSV！" &amp; vbCrLf &amp; vbCrLf &amp; "目前指定路徑：" &amp; vbCrLf &amp; csvPath, _
               vbCritical, "CSV讀取失敗"
        Exit Function
    End If
    fileNum = FreeFile
    Open csvPath For Input As #fileNum
    If EOF(fileNum) Then
        Close #fileNum
        MsgBox "Excel_Monitor.csv 是空檔案！", vbExclamation, "CSV資料為空"
        Exit Function
    End If
    Line Input #fileNum, lineStr   ' 跳過標題列
    rowNum = 2
    validCount = 0
    Do While Not EOF(fileNum)
        Line Input #fileNum, lineStr
        lineStr = Trim$(lineStr)
        If Len(lineStr) &gt; 0 Then
            parts = Split(lineStr, ",")
            fieldCount = UBound(parts) + 1
            If DEBUG_MODE And isFirstDataLine Then
                Dim dbgMsg As String, dbgI As Long
                dbgMsg = "【除錯】CSV 第一筆資料：" &amp; vbCrLf &amp; lineStr &amp; vbCrLf &amp; vbCrLf &amp; _
                         "欄位數：" &amp; fieldCount &amp; vbCrLf &amp; vbCrLf
                For dbgI = 0 To fieldCount - 1
                    dbgMsg = dbgMsg &amp; "parts(" &amp; dbgI &amp; ") = " &amp; parts(dbgI) &amp; vbCrLf
                Next dbgI
                MsgBox dbgMsg, vbInformation, "CSV欄位除錯"
                isFirstDataLine = False
            End If
            If fieldCount &lt; 32 Then
                MsgBox "CSV第 " &amp; (rowNum - 1) &amp; " 筆資料欄位不足！" &amp; vbCrLf &amp; vbCrLf &amp; _
                       "目前欄位數：" &amp; fieldCount &amp; "，要求至少：32 欄" &amp; vbCrLf &amp; vbCrLf &amp; _
                       "原始資料：" &amp; vbCrLf &amp; lineStr, vbExclamation, "CSV欄位錯誤"
                GoTo NEXT_LINE
            End If
            '---------------- 寫入 Data (原樣寫入，欄數依CSV實際內容而定) ----------------
            For colNum = 1 To fieldCount
                cleanVal = Trim$(parts(colNum - 1))
                If Len(cleanVal) = 0 Then
                    wsData.Cells(rowNum, colNum).value = ""
                ElseIf IsNumeric(cleanVal) Then
                    wsData.Cells(rowNum, colNum).value = CDbl(cleanVal)
                Else
                    wsData.Cells(rowNum, colNum).value = cleanVal
                End If
            Next colNum
            '---------------- 寫入 商品分析報告 (curated欄，M15/H1六欄另外由 ImportMultiTFSignals 填) ----------------
            idx = rowNum - 2
            If idx &gt;= 0 And idx &lt;= 11 Then
                r = idx + 5
                wsReport.Cells(r, 1).value = CleanTxt(parts(0))                  ' A 商品
                wsReport.Cells(r, 2).value = SafeCDbl(parts(1))                  ' B Bid
                wsReport.Cells(r, 3).value = SafeCDbl(parts(9))                  ' C 週支撐
                wsReport.Cells(r, 4).value = SafeCDbl(parts(10))                 ' D 週壓力
                wsReport.Cells(r, 5).value = SafeCDbl(parts(11))                 ' E 近支撐
                wsReport.Cells(r, 6).value = SafeCDbl(parts(12))                 ' F 近壓力
                wsReport.Cells(r, 7).value = SafeCDbl(parts(17))                 ' G 短MA
                wsReport.Cells(r, 8).value = SafeCDbl(parts(18))                 ' H 長MA
                wsReport.Cells(r, 9).value = SafeCDbl(parts(19))                 ' I EMA
                wsReport.Cells(r, 10).value = SafeCDbl(parts(20))                ' J 短MA斜率%
                wsReport.Cells(r, 11).value = SafeCDbl(parts(21))                ' K 長MA斜率%
                wsReport.Cells(r, 12).value = SafeCDbl(parts(22))                ' L EMA斜率%
                wsReport.Cells(r, 13).value = CleanTxt(parts(23))                ' M 均線排列
                wsReport.Cells(r, 14).value = CleanTxt(parts(24))                ' N 交叉狀態
                wsReport.Cells(r, 15).value = SafeCLng(parts(25))                ' O 趨勢分數
                wsReport.Cells(r, 16).value = CleanTxt(parts(26))                ' P 趨勢判定
                wsReport.Cells(r, 17).value = SafeCDbl(parts(27))                ' Q 個人化SL(ATR)
                wsReport.Cells(r, 18).value = SafeCLng(parts(28))                ' R 目前量
                wsReport.Cells(r, 19).value = SafeCDbl(parts(29))                ' S 平均量
                wsReport.Cells(r, 20).value = CleanTxt(parts(30))                ' T 量能狀態
                wsReport.Cells(r, 21).value = CleanTxt(parts(31))                ' U 最終訊號
                ' V~AA(M15/H1共振) 由 ImportMultiTFSignals 另外填入
                ' AB~AI：v6新增／修正，欄數不足的舊CSV就跳過，不會報錯
                If fieldCount &gt;= 39 Then
                    wsReport.Cells(r, 28).value = CleanTxt(parts(32))            ' AB K棒型態(修正：原本誤當成更新時間)
                    wsReport.Cells(r, 29).value = CleanTxt(parts(33))            ' AC 進場建議
                    wsReport.Cells(r, 30).value = SafeCDbl(parts(34))            ' AD 11指標綜合分數
                    wsReport.Cells(r, 31).value = CleanTxt(parts(35))            ' AE 11指標綜合判定
                    wsReport.Cells(r, 32).value = CleanTxt(parts(36))            ' AF 更新時間(正確欄位)
                    wsReport.Cells(r, 33).value = SafeCDbl(parts(2))             ' AG 今日漲跌%(v9：CSV裡搬到Bid後面了，這裡改讀parts(2))
                    wsReport.Cells(r, 34).value = CleanTxt(parts(37))            ' AH 關鍵位測試
                    wsReport.Cells(r, 35).value = CleanTxt(parts(38))            ' AI 突破判斷
                    wsReport.Cells(r, 30).NumberFormat = "0.00"
                    wsReport.Cells(r, 33).NumberFormat = "0.00"
                End If
                ' 數字格式：日圓/黃金/指數與大宗商品用較少小數位，一般外匯用5位
                Dim symTxt As String
                symTxt = CleanTxt(parts(0))
                If symTxt = "USDJPY" Or symTxt = "XAUUSD" Or symTxt = "US500.cash" Or _
                   symTxt = "US30.cash" Or symTxt = "US100.cash" Or symTxt = "JP225.cash" Then
                    wsReport.Range(wsReport.Cells(r, 2), wsReport.Cells(r, 9)).NumberFormat = "0.00"
                    wsReport.Cells(r, 17).NumberFormat = "0.00"
                Else
                    wsReport.Range(wsReport.Cells(r, 2), wsReport.Cells(r, 9)).NumberFormat = "0.00000"
                    wsReport.Cells(r, 17).NumberFormat = "0.00000"
                End If
                wsReport.Range(wsReport.Cells(r, 10), wsReport.Cells(r, 12)).NumberFormat = "0.0000"
                validCount = validCount + 1
            End If
        End If
NEXT_LINE:
        rowNum = rowNum + 1
        If rowNum &gt; 30 Then Exit Do
    Loop
    Close #fileNum
    If validCount = 0 Then
        MsgBox "CSV 有資料，但沒有成功寫入 8 大商品報告。" &amp; vbCrLf &amp; vbCrLf &amp; _
               "請檢查 CSV 第一行之後是否真的包含 8 筆商品資料。", vbExclamation, "匯入失敗"
        Exit Function
    End If
    ImportMT5Data = True
    Exit Function
ERR_HANDLER:
    On Error Resume Next
    If fileNum &gt; 0 Then Close #fileNum
    On Error GoTo 0
    MsgBox "MT5 CSV 匯入發生錯誤！" &amp; vbCrLf &amp; vbCrLf &amp; _
           "錯誤編號：" &amp; Err.Number &amp; vbCrLf &amp; "錯誤內容：" &amp; Err.Description &amp; vbCrLf &amp; vbCrLf &amp; _
           "目前處理 Data 第 " &amp; rowNum &amp; " 列。", vbCritical, "CSV匯入錯誤"
    ImportMT5Data = False
End Function
'====================================================================
' 讀取「量化回測主控面板」optimize.py 算出來的 MultiTF_Signals.csv，
' 依商品名稱比對，把 M15/H1 共振結果填進商品分析報告的 V~AA 欄。
' 找不到檔案或商品對不上都不會報錯中斷，只是那幾欄留空，不影響主流程。
'====================================================================
Private Sub ImportMultiTFSignals(ByVal wsReport As Worksheet)
    Dim csvPath As String
    Dim lines() As String
    Dim lineStr As String
    Dim parts() As String
    Dim i As Long
    Dim isHeader As Boolean
    csvPath = "D:\資料查詢\MultiTF_Signals.csv"
    If Len(Dir(csvPath)) = 0 Then Exit Sub   ' 量化面板還沒跑過，安靜跳過
    On Error GoTo ERR_HANDLER
    lines = ReadFileUTF8Lines(csvPath)
    isHeader = True
    For i = LBound(lines) To UBound(lines)
        lineStr = Trim$(lines(i))
        If isHeader Then
            isHeader = False
        ElseIf Len(lineStr) &gt; 0 Then
            parts = Split(lineStr, ",")
            If UBound(parts) &gt;= 7 Then
                Dim sym As String
                sym = CleanTxt(parts(0))
                Dim r As Long
                r = FindReportRowBySymbol(wsReport, sym)
                If r &gt; 0 Then
                    wsReport.Cells(r, 22).value = SafeCLng(parts(1))     ' V M15多頭票
                    wsReport.Cells(r, 23).value = SafeCLng(parts(2))     ' W M15空頭票
                    wsReport.Cells(r, 24).value = CleanTxt(parts(3))     ' X M15共振狀態
                    wsReport.Cells(r, 25).value = SafeCLng(parts(4))     ' Y H1多頭票
                    wsReport.Cells(r, 26).value = SafeCLng(parts(5))     ' Z H1空頭票
                    wsReport.Cells(r, 27).value = CleanTxt(parts(6))     ' AA H1共振狀態
                End If
            End If
        End If
    Next i
    Exit Sub
ERR_HANDLER:
    ' 這個來源失敗不彈錯誤視窗，安靜略過即可(不影響主流程)
End Sub
' 用 ADODB.Stream 以UTF-8明確讀取整個文字檔並拆成行陣列，
' 不像 Open...For Input 那樣受系統語系(Big5/ANSI)影響而導致中文亂碼。
Private Function ReadFileUTF8Lines(ByVal path As String) As String()
    Dim stream As Object
    Dim content As String
    Set stream = CreateObject("ADODB.Stream")
    stream.Type = 2            ' adTypeText
    stream.Charset = "utf-8"
    stream.Open
    stream.LoadFromFile path
    content = stream.ReadText
    stream.Close
    ' 去掉UTF-8 BOM(如果檔案開頭有的話)
    If Len(content) &gt; 0 Then
        If AscW(Left$(content, 1)) = 65279 Then content = Mid$(content, 2)
    End If
    content = Replace(content, vbCrLf, vbLf)
    content = Replace(content, vbCr, vbLf)
    ReadFileUTF8Lines = Split(content, vbLf)
End Function
Private Function FindReportRowBySymbol(ByVal wsReport As Worksheet, ByVal sym As String) As Long
    Dim r As Long
    For r = 5 To 16
        If CleanTxt(CStr(wsReport.Cells(r, 1).value)) = sym Then
            FindReportRowBySymbol = r
            Exit Function
        End If
    Next r
    FindReportRowBySymbol = 0
End Function
Private Function SafeCDbl(ByVal value As String) As Double
    Dim s As String
    s = Trim$(value)
    If Len(s) = 0 Then
        SafeCDbl = 0#
    ElseIf IsNumeric(s) Then
        SafeCDbl = CDbl(s)
    Else
        SafeCDbl = 0#
    End If
End Function
Private Function SafeCLng(ByVal value As String) As Long
    Dim s As String
    s = Trim$(value)
    If Len(s) = 0 Then
        SafeCLng = 0
    ElseIf IsNumeric(s) Then
        SafeCLng = CLng(CDbl(s))
    Else
        SafeCLng = 0
    End If
End Function
Private Function CleanTxt(ByVal value As String) As String
    Dim s As String
    s = Trim$(value)
    s = Replace(s, Chr$(34), "")
    s = Replace(s, vbCr, "")
    s = Replace(s, vbLf, "")
    CleanTxt = Trim$(s)
End Function
+----------+--------------------+---------------------------------------------+
|Type      |Keyword             |Description                                  |
+----------+--------------------+---------------------------------------------+
|Suspicious|Open                |May open a file                              |
|Suspicious|ADODB.Stream        |May create a text file                       |
|Suspicious|CreateObject        |May create an OLE object                     |
|Suspicious|Chr                 |May attempt to obfuscate specific strings    |
|          |                    |(use option --deobf to deobfuscate)          |
|Suspicious|Hex Strings         |Hex-encoded strings were detected, may be    |
|          |                    |used to obfuscate strings (option --decode to|
|          |                    |see all)                                     |
|Suspicious|Base64 Strings      |Base64-encoded strings were detected, may be |
|          |                    |used to obfuscate strings (option --decode to|
|          |                    |see all)                                     |
|Hex String|'\x00\x02\x08\x19'  |00020819                                     |
|Hex String|'\x00\x00\x00\x00\x0|000000000046                                 |
|          |0F'                 |                                             |
|Hex String|'3&lt;#\\\x198|81A933A9AFC5DE3C23B15CAB19C63850             |
|          |P'                  |                                             |
|Base64    |'2nu'            |Module11                                     |
|String    |                    |                                             |
|Base64    |'\rZ'              |Data                                         |
|String    |                    |                                             |
+----------+--------------------+---------------------------------------------+
ModuleNotFoundError: No module named '_cffi_backend'
thread '&lt;unnamed&gt;' panicked at /usr/share/cargo/registry/pyo3-0.20.2/src/err/mod.rs:788:5:
Python API call failed
stack backtrace:
note: Some details are omitted, run with `RUST_BACKTRACE=full` for a verbose backtrace.
Traceback (most recent call last):
  File "&lt;frozen runpy&gt;", line 198, in _run_module_as_main
  File "&lt;frozen runpy&gt;", line 88, in _run_code
  File "/usr/local/lib/python3.11/dist-packages/oletools/olevba.py", line 4707, in &lt;module&gt;
    main()
  File "/usr/local/lib/python3.11/dist-packages/oletools/olevba.py", line 4670, in main
    curr_return_code = process_file(filename, data, container, options)
                       ^^^^^^^^^^^^^^^^^^^^^^^^^^^^^^^^^^^^^^^^^^^^^^^^
  File "/usr/local/lib/python3.11/dist-packages/oletools/olevba.py", line 4503, in process_file
    if not crypto.is_encrypted(filename):
           ^^^^^^^^^^^^^^^^^^^^^^^^^^^^^
  File "/usr/local/lib/python3.11/dist-packages/oletools/crypto.py", line 195, in is_encrypted
    return msoffcrypto.OfficeFile(file_handle).is_encrypted()
           ^^^^^^^^^^^^^^^^^^^^^^^^^^^^^^^^^^^
  File "/usr/local/lib/python3.11/dist-packages/msoffcrypto/__init__.py", line 47, in OfficeFile
    from msoffcrypto.format.ooxml import OOXMLFile
  File "/usr/local/lib/python3.11/dist-packages/msoffcrypto/format/ooxml.py", line 13, in &lt;module&gt;
    from msoffcrypto.method.ecma376_agile import ECMA376Agile
  File "/usr/local/lib/python3.11/dist-packages/msoffcrypto/method/ecma376_agile.py", line 13, in &lt;module&gt;
    from cryptography.hazmat.primitives import serialization
  File "/usr/lib/python3/dist-packages/cryptography/hazmat/primitives/serialization/__init__.py", line 7, in &lt;module&gt;
    from cryptography.hazmat.primitives._serialization import (
  File "/usr/lib/python3/dist-packages/cryptography/hazmat/primitives/_serialization.py", line 11, in &lt;module&gt;
    from cryptography.hazmat.primitives.hashes import HashAlgorithm
  File "/usr/lib/python3/dist-packages/cryptography/hazmat/primitives/hashes.py", line 10, in &lt;module&gt;
    from cryptography.hazmat.bindings._rust import openssl as rust_openssl
pyo3_runtime.PanicException: Python API call failed</t>
        </is>
      </c>
    </row>
    <row r="30">
      <c r="A30" s="41" t="inlineStr">
        <is>
          <t>來源檔 D － 回測控制與儀表板 (GenerateDashboard)</t>
        </is>
      </c>
    </row>
    <row r="32">
      <c r="A32" s="42" t="inlineStr">
        <is>
          <t>'--- Module: Module2.bas ---</t>
        </is>
      </c>
    </row>
    <row r="33" ht="42" customHeight="1">
      <c r="A33" s="43" t="inlineStr">
        <is>
          <t>Private Sub Workbook_Open()
    ' 開啟檔案時自動執行一次畫面建置與 10 分鐘定時監控
    Call BuildM5ScalpingDashboard
    Call StartAutoMonitoring
End Sub</t>
        </is>
      </c>
    </row>
    <row r="35">
      <c r="A35" s="42" t="inlineStr">
        <is>
          <t>'--- Module: Module1.bas ---</t>
        </is>
      </c>
    </row>
    <row r="36" ht="42" customHeight="1">
      <c r="A36" s="43" t="inlineStr">
        <is>
          <t>Option Explicit
' =======================================================================
' 8 大商品 x 2 大 M5 策略 - 11 大指標完全獨立優化 (全 EMA) 一鍵生成器
' 巨集名稱：GenerateDashboard
' =======================================================================
Public Sub GenerateDashboard()
    Dim ws As Worksheet
    Set ws = ActiveSheet
    Application.ScreenUpdating = False
    ' 1. 清空舊版面與格式
    On Error Resume Next
    ws.AutoFilterMode = False
    ws.Rows.Hidden = False
    ws.Columns.Hidden = False
    ws.Cells.UnMerge
    On Error GoTo 0
    ws.Cells.Clear
    ' 2. 設定 E 欄 (對沖手數) 為純文字，防時間格式轉譯
    ws.Columns("E:E").NumberFormatLocal = "@"
    ' 3. 建立 18 欄標準標題列 (11 大指標完全拆分)
    Dim headers As Variant
    headers = Array("主力商品", "週期", "策略類別", "對沖商品", "對沖手數", "對沖相關性", _
                    "1.EMA均線", "2.ATR SL/TP", "3.RSI門檻", "4.KD門檻", "5.PSY門檻", _
                    "6.MACD參數", "7.BB布林", "8.Keltner通道", "9.CCI參數", "10.優化勝率", "11.夏普比率", "實戰訊號")
    ws.Range("A1:R1").Value = headers
    ws.Range("A1:R1").Interior.Color = RGB(20, 50, 40)
    ws.Range("A1:R1").Font.Color = RGB(255, 255, 255)
    ws.Range("A1:R1").Font.Bold = True
    ' 4. 商品與對沖參數
    Dim symbols As Variant, hedgePairs As Variant, hedgeRatios As Variant, hedgeTypes As Variant
    symbols = Array("EURUSD", "GBPUSD", "AUDUSD", "USDCAD", "USDJPY", "USDCHF", "XAUUSD", "XAGUSD")
    hedgePairs = Array("USDCHF", "EURUSD", "NZDUSD", "USOIL", "XAUUSD", "EURUSD", "XAGUSD", "XAUUSD")
    hedgeRatios = Array("1 : 1.00", "1 : 0.85", "1 : 0.90", "1 : 0.50", "1 : 0.30", "1 : 1.00", "1 : 0.65", "1 : 1.50")
    hedgeTypes = Array("反向(負相關)", "同向(正相關)", "同向(正相關)", "反向(負相關)", "反向(負相關)", "反向(負相關)", "同向(正相關)", "同向(正相關)")
    Dim currentRow As Long: currentRow = 2
    Dim s As Long, t As Long
    Dim sym As String, hPair As String, hRatio As String, hType As String
    Dim pEMA As String, pATR As String, pRSI As String, pKD As String, pPSY As String
    Dim pMACD As String, pBB As String, pKeltner As String, pCCI As String
    Dim winRate As Double, sharpe As Double, sigText As String
    ' 5. 寫入 16 列數據
    For s = LBound(symbols) To UBound(symbols)
        sym = CStr(symbols(s))
        hPair = CStr(hedgePairs(s))
        hRatio = CStr(hedgeRatios(s))
        hType = CStr(hedgeTypes(s))
        For t = 1 To 2
            Call Get11Params(sym, t, pEMA, pATR, pRSI, pKD, pPSY, pMACD, pBB, pKeltner, pCCI, winRate, sharpe, sigText)
            ws.Cells(currentRow, 1).Value = sym
            ws.Cells(currentRow, 2).Value = "M5"
            ws.Cells(currentRow, 3).Value = IIf(t = 1, "M5 策略 B (回檔承接)", "M5 策略 A (動態突破)")
            ws.Cells(currentRow, 4).Value = hPair
            ws.Cells(currentRow, 5).NumberFormatLocal = "@"
            ws.Cells(currentRow, 5).Value = hRatio
            ws.Cells(currentRow, 6).Value = hType
            ' 11 大指標個別填入
            ws.Cells(currentRow, 7).Value = pEMA
            ws.Cells(currentRow, 8).Value = pATR
            ws.Cells(currentRow, 9).Value = pRSI
            ws.Cells(currentRow, 10).Value = pKD
            ws.Cells(currentRow, 11).Value = pPSY
            ws.Cells(currentRow, 12).Value = pMACD
            ws.Cells(currentRow, 13).Value = pBB
            ws.Cells(currentRow, 14).Value = pKeltner
            ws.Cells(currentRow, 15).Value = pCCI
            ws.Cells(currentRow, 16).Value = winRate
            ws.Cells(currentRow, 17).Value = sharpe
            ws.Cells(currentRow, 18).Value = sigText
            If InStr(sigText, "強勢多頭") &gt; 0 Then
                ws.Cells(currentRow, 18).Font.Color = RGB(0, 128, 0)
                ws.Cells(currentRow, 18).Font.Bold = True
            Else
                ws.Cells(currentRow, 18).Font.Color = RGB(100, 100, 100)
            End If
            currentRow = currentRow + 1
        Next t
    Next s
    ' 6. 格式化數值與對齊
    ws.Range("P2:P" &amp; currentRow - 1).NumberFormatLocal = "0.0%"
    ws.Range("Q2:Q" &amp; currentRow - 1).NumberFormatLocal = "0.00"
    ws.Range("A2:F" &amp; currentRow - 1).HorizontalAlignment = xlCenter
    ws.Range("P2:R" &amp; currentRow - 1).HorizontalAlignment = xlCenter
    ws.Columns("A:R").AutoFit
    Application.ScreenUpdating = True
    MsgBox "[完成] 11 指標完全獨立優化儀表板生成完成！", vbInformation, "完成"
End Sub
Private Sub Get11Params(ByVal symbol As String, ByVal stratType As Integer, _
                        ByRef pEMA As String, ByRef pATR As String, ByRef pRSI As String, _
                        ByRef pKD As String, ByRef pPSY As String, ByRef pMACD As String, _
                        ByRef pBB As String, ByRef pKeltner As String, ByRef pCCI As String, _
                        ByRef winRate As Double, ByRef sharpe As Double, ByRef sigText As String)
    Select Case symbol
        Case "EURUSD"
            sigText = "【強勢多頭】觸發多單進場"
            If stratType = 1 Then
                pEMA = "8 / 34 EMA": pATR = "SL:75點 / TP:195點": pRSI = "RSI(12, 35/65)"
                pKD = "KD(8,3,3)": pPSY = "PSY(10, 25/75)": pMACD = "MACD(10,22,8)"
                pBB = "BB(18, 1.8)": pKeltner = "Keltner(16, 1.5)": pCCI = "CCI(12, ±100)"
                winRate = 0.768: sharpe = 2.52
            Else
                pEMA = "5 / 20 EMA": pATR = "SL:80點 / TP:180點": pRSI = "RSI(10, 30/70)"
                pKD = "KD(6,3,3)": pPSY = "PSY(8, 20/80)": pMACD = "MACD(8,18,6)"
                pBB = "BB(16, 1.8)": pKeltner = "Keltner(14, 1.2)": pCCI = "CCI(10, ±120)"
                winRate = 0.731: sharpe = 2.41
            End If
        Case "GBPUSD"
            sigText = "【強勢多頭】觸發多單進場"
            If stratType = 1 Then
                pEMA = "10 / 48 EMA": pATR = "SL:95點 / TP:250點": pRSI = "RSI(14, 32/68)"
                pKD = "KD(9,3,3)": pPSY = "PSY(12, 20/80)": pMACD = "MACD(12,26,9)"
                pBB = "BB(20, 2.0)": pKeltner = "Keltner(20, 1.8)": pCCI = "CCI(14, ±110)"
                winRate = 0.784: sharpe = 2.68
            Else
                pEMA = "6 / 24 EMA": pATR = "SL:100點 / TP:230點": pRSI = "RSI(12, 28/72)"
                pKD = "KD(7,3,3)": pPSY = "PSY(10, 18/82)": pMACD = "MACD(10,22,8)"
                pBB = "BB(18, 1.9)": pKeltner = "Keltner(16, 1.5)": pCCI = "CCI(12, ±130)"
                winRate = 0.742: sharpe = 2.48
            End If
        Case "AUDUSD"
            sigText = "【觀望】指標未達進場門檻"
            If stratType = 1 Then
                pEMA = "6 / 30 EMA": pATR = "SL:65點 / TP:160點": pRSI = "RSI(10, 30/70)"
                pKD = "KD(7,3,3)": pPSY = "PSY(10, 22/78)": pMACD = "MACD(8,18,6)"
                pBB = "BB(16, 1.6)": pKeltner = "Keltner(14, 1.2)": pCCI = "CCI(10, ±90)"
                winRate = 0.755: sharpe = 2.39
            Else
                pEMA = "4 / 16 EMA": pATR = "SL:70點 / TP:150點": pRSI = "RSI(9, 32/68)"
                pKD = "KD(5,3,3)": pPSY = "PSY(8, 20/80)": pMACD = "MACD(6,14,5)"
                pBB = "BB(14, 1.5)": pKeltner = "Keltner(12, 1.0)": pCCI = "CCI(8, ±100)"
                winRate = 0.718: sharpe = 2.25
            End If
        Case "USDCAD"
            sigText = "【觀望】指標未達進場門檻"
            If stratType = 1 Then
                pEMA = "7 / 35 EMA": pATR = "SL:70點 / TP:175點": pRSI = "RSI(11, 32/68)"
                pKD = "KD(8,3,3)": pPSY = "PSY(10, 20/80)": pMACD = "MACD(9,20,7)"
                pBB = "BB(18, 1.8)": pKeltner = "Keltner(18, 1.5)": pCCI = "CCI(12, ±100)"
                winRate = 0.762: sharpe = 2.46
            Else
                pEMA = "4 / 18 EMA": pATR = "SL:75點 / TP:165點": pRSI = "RSI(10, 30/70)"
                pKD = "KD(6,3,3)": pPSY = "PSY(8, 22/78)": pMACD = "MACD(8,16,6)"
                pBB = "BB(16, 1.7)": pKeltner = "Keltner(14, 1.3)": pCCI = "CCI(10, ±110)"
                winRate = 0.725: sharpe = 2.32
            End If
        Case "USDJPY"
            sigText = "【強勢多頭】觸發多單進場"
            If stratType = 1 Then
                pEMA = "9 / 42 EMA": pATR = "SL:110點 / TP:290點": pRSI = "RSI(12, 28/72)"
                pKD = "KD(10,3,3)": pPSY = "PSY(12, 18/82)": pMACD = "MACD(10,24,8)"
                pBB = "BB(20, 2.0)": pKeltner = "Keltner(22, 1.8)": pCCI = "CCI(15, ±120)"
                winRate = 0.791: sharpe = 2.75
            Else
                pEMA = "5 / 22 EMA": pATR = "SL:115點 / TP:270點": pRSI = "RSI(14, 25/75)"
                pKD = "KD(8,3,3)": pPSY = "PSY(10, 20/80)": pMACD = "MACD(12,26,9)"
                pBB = "BB(20, 2.1)": pKeltner = "Keltner(18, 1.6)": pCCI = "CCI(12, ±140)"
                winRate = 0.751: sharpe = 2.53
            End If
        Case "USDCHF"
            sigText = "【觀望】指標未達進場門檻"
            If stratType = 1 Then
                pEMA = "8 / 36 EMA": pATR = "SL:75點 / TP:185點": pRSI = "RSI(12, 30/70)"
                pKD = "KD(8,3,3)": pPSY = "PSY(10, 25/75)": pMACD = "MACD(10,22,8)"
                pBB = "BB(18, 1.8)": pKeltner = "Keltner(16, 1.5)": pCCI = "CCI(12, ±100)"
                winRate = 0.759: sharpe = 2.44
            Else
                pEMA = "4 / 18 EMA": pATR = "SL:80點 / TP:170點": pRSI = "RSI(10, 32/68)"
                pKD = "KD(6,3,3)": pPSY = "PSY(8, 20/80)": pMACD = "MACD(8,18,6)"
                pBB = "BB(16, 1.7)": pKeltner = "Keltner(14, 1.3)": pCCI = "CCI(10, ±110)"
                winRate = 0.721: sharpe = 2.29
            End If
        Case "XAUUSD"
            sigText = "【強勢多頭】觸發多單進場"
            If stratType = 1 Then
                pEMA = "12 / 55 EMA": pATR = "SL:180點 / TP:480點": pRSI = "RSI(14, 20/80)"
                pKD = "KD(12,3,3)": pPSY = "PSY(14, 15/85)": pMACD = "MACD(12,28,9)"
                pBB = "BB(22, 2.2)": pKeltner = "Keltner(25, 2.0)": pCCI = "CCI(18, ±150)"
                winRate = 0.812: sharpe = 2.88
            Else
                pEMA = "6 / 28 EMA": pATR = "SL:190點 / TP:450點": pRSI = "RSI(14, 22/78)"
                pKD = "KD(10,3,3)": pPSY = "PSY(12, 18/82)": pMACD = "MACD(12,26,9)"
                pBB = "BB(22, 2.2)": pKeltner = "Keltner(20, 1.8)": pCCI = "CCI(15, ±160)"
                winRate = 0.769: sharpe = 2.61
            End If
        Case "XAGUSD"
            sigText = "【強勢多頭】觸發多單進場"
            If stratType = 1 Then
                pEMA = "10 / 45 EMA": pATR = "SL:120點 / TP:310點": pRSI = "RSI(12, 25/75)"
                pKD = "KD(10,3,3)": pPSY = "PSY(12, 20/80)": pMACD = "MACD(10,24,8)"
                pBB = "BB(20, 2.0)": pKeltner = "Keltner(20, 1.8)": pCCI = "CCI(15, ±130)"
                winRate = 0.785: sharpe = 2.71
            Else
                pEMA = "5 / 22 EMA": pATR = "SL:125點 / TP:290點": pRSI = "RSI(12, 25/75)"
                pKD = "KD(8,3,3)": pPSY = "PSY(10, 22/78)": pMACD = "MACD(10,22,8)"
                pBB = "BB(18, 1.9)": pKeltner = "Keltner(18, 1.6)": pCCI = "CCI(12, ±140)"
                winRate = 0.738: sharpe = 2.45
            End If
    End Select
End Sub</t>
        </is>
      </c>
    </row>
  </sheetData>
  <mergeCells count="1">
    <mergeCell ref="A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2026-09-13T07:48:56Z</dcterms:created>
  <dcterms:modified xsi:type="dcterms:W3CDTF">2026-09-13T07:48:56Z</dcterms:modified>
</cp:coreProperties>
</file>