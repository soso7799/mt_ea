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tabRatio="600" firstSheet="0" activeTab="0" autoFilterDateGrouping="1"/>
  </bookViews>
  <sheets>
    <sheet name="總覽" sheetId="1" state="visible" r:id="rId1"/>
    <sheet name="Dashboard_SL監控" sheetId="2" state="visible" r:id="rId2"/>
    <sheet name="Config_SL" sheetId="3" state="visible" r:id="rId3"/>
    <sheet name="Data_Feed" sheetId="4" state="visible" r:id="rId4"/>
    <sheet name="商品分析報告_v9最新" sheetId="5" state="visible" r:id="rId5"/>
    <sheet name="Data_v9最新" sheetId="6" state="visible" r:id="rId6"/>
    <sheet name="商品分析報告_v5存檔" sheetId="7" state="visible" r:id="rId7"/>
    <sheet name="Data_v5存檔" sheetId="8" state="visible" r:id="rId8"/>
    <sheet name="回測控制與儀表板" sheetId="9" state="visible" r:id="rId9"/>
    <sheet name="Data_回測" sheetId="10" state="visible" r:id="rId10"/>
    <sheet name="參數設定與明細" sheetId="11" state="visible" r:id="rId11"/>
    <sheet name="歷史回測紀錄" sheetId="12" state="visible" r:id="rId12"/>
    <sheet name="各週期動態優化方案" sheetId="13" state="visible" r:id="rId13"/>
    <sheet name="配對交易與最佳方案" sheetId="14" state="visible" r:id="rId14"/>
    <sheet name="歷史資料下載與匯入模組" sheetId="15" state="visible" r:id="rId15"/>
    <sheet name="VBA原始碼備份(僅供參考)" sheetId="16" state="visible" r:id="rId16"/>
  </sheets>
  <definedNames/>
  <calcPr calcId="124519" fullCalcOnLoad="1"/>
</workbook>
</file>

<file path=xl/styles.xml><?xml version="1.0" encoding="utf-8"?>
<styleSheet xmlns="http://schemas.openxmlformats.org/spreadsheetml/2006/main">
  <numFmts count="4">
    <numFmt numFmtId="164" formatCode="\+0.000%;\-0.000%"/>
    <numFmt numFmtId="165" formatCode="0.00000"/>
    <numFmt numFmtId="166" formatCode="0.0000"/>
    <numFmt numFmtId="167" formatCode="0.0%"/>
  </numFmts>
  <fonts count="28">
    <font>
      <name val="Calibri"/>
      <family val="2"/>
      <color theme="1"/>
      <sz val="11"/>
      <scheme val="minor"/>
    </font>
    <font>
      <name val="新細明體"/>
      <charset val="136"/>
      <family val="1"/>
      <b val="1"/>
      <color rgb="FFFFD700"/>
      <sz val="14"/>
      <scheme val="minor"/>
    </font>
    <font>
      <name val="新細明體"/>
      <charset val="136"/>
      <family val="1"/>
      <b val="1"/>
      <color theme="1"/>
      <sz val="11"/>
      <scheme val="minor"/>
    </font>
    <font>
      <name val="新細明體"/>
      <family val="2"/>
      <color theme="1"/>
      <sz val="11"/>
      <scheme val="minor"/>
    </font>
    <font>
      <name val="新細明體"/>
      <charset val="136"/>
      <family val="1"/>
      <b val="1"/>
      <color rgb="FFFFD700"/>
      <sz val="16"/>
      <scheme val="minor"/>
    </font>
    <font>
      <name val="新細明體"/>
      <charset val="136"/>
      <family val="1"/>
      <b val="1"/>
      <color rgb="FFFFFFFF"/>
      <sz val="11"/>
      <scheme val="minor"/>
    </font>
    <font>
      <name val="新細明體"/>
      <charset val="136"/>
      <family val="1"/>
      <b val="1"/>
      <color rgb="FF008000"/>
      <sz val="11"/>
      <scheme val="minor"/>
    </font>
    <font>
      <name val="新細明體"/>
      <family val="2"/>
      <color rgb="FF646464"/>
      <sz val="11"/>
      <scheme val="minor"/>
    </font>
    <font>
      <name val="Arial"/>
      <family val="2"/>
      <b val="1"/>
      <color rgb="FF1E3A2F"/>
      <sz val="12"/>
    </font>
    <font>
      <name val="Arial"/>
      <family val="2"/>
      <b val="1"/>
      <color rgb="FFFFFFFF"/>
      <sz val="10"/>
    </font>
    <font>
      <name val="Arial"/>
      <family val="2"/>
      <color rgb="FF000000"/>
      <sz val="10"/>
    </font>
    <font>
      <name val="Arial"/>
      <family val="2"/>
      <b val="1"/>
      <color rgb="FFFFFFFF"/>
      <sz val="13"/>
    </font>
    <font>
      <name val="Arial"/>
      <family val="2"/>
      <b val="1"/>
      <sz val="10"/>
    </font>
    <font>
      <name val="Arial"/>
      <family val="2"/>
      <sz val="10"/>
    </font>
    <font>
      <name val="Arial"/>
      <family val="2"/>
      <b val="1"/>
      <color rgb="FFFFFFFF"/>
      <sz val="14"/>
    </font>
    <font>
      <name val="Arial"/>
      <family val="2"/>
      <b val="1"/>
      <color rgb="FF1F4E79"/>
      <sz val="11"/>
    </font>
    <font>
      <name val="Consolas"/>
      <family val="3"/>
      <color rgb="FF1F4E79"/>
      <sz val="9"/>
    </font>
    <font>
      <name val="Arial"/>
      <b val="1"/>
      <color rgb="00FFFFFF"/>
      <sz val="16"/>
    </font>
    <font>
      <name val="Arial"/>
      <i val="1"/>
      <color rgb="00808080"/>
      <sz val="10"/>
    </font>
    <font>
      <name val="Arial"/>
      <b val="1"/>
      <color rgb="00FFFFFF"/>
      <sz val="11"/>
    </font>
    <font>
      <name val="Arial"/>
      <b val="1"/>
      <color rgb="001F4E5F"/>
      <sz val="12"/>
    </font>
    <font>
      <name val="Arial"/>
      <sz val="10"/>
    </font>
    <font>
      <name val="Arial"/>
      <b val="1"/>
      <color rgb="00FFFFFF"/>
      <sz val="14"/>
    </font>
    <font>
      <name val="Consolas"/>
      <b val="1"/>
      <sz val="9"/>
    </font>
    <font>
      <name val="Consolas"/>
      <sz val="9"/>
    </font>
    <font>
      <name val="Arial"/>
      <b val="1"/>
      <color rgb="00000000"/>
      <sz val="10"/>
    </font>
    <font>
      <name val="Arial"/>
      <b val="1"/>
      <color rgb="00000000"/>
      <sz val="9"/>
    </font>
    <font>
      <name val="Arial"/>
      <color rgb="00404040"/>
      <sz val="10"/>
    </font>
  </fonts>
  <fills count="22">
    <fill>
      <patternFill/>
    </fill>
    <fill>
      <patternFill patternType="gray125"/>
    </fill>
    <fill>
      <patternFill patternType="solid">
        <fgColor rgb="FF0F1928"/>
        <bgColor indexed="64"/>
      </patternFill>
    </fill>
    <fill>
      <patternFill patternType="solid">
        <fgColor rgb="FFE6EBF5"/>
        <bgColor indexed="64"/>
      </patternFill>
    </fill>
    <fill>
      <patternFill patternType="solid">
        <fgColor rgb="FF1F4E79"/>
        <bgColor indexed="64"/>
      </patternFill>
    </fill>
    <fill>
      <patternFill patternType="solid">
        <fgColor rgb="FF143228"/>
        <bgColor indexed="64"/>
      </patternFill>
    </fill>
    <fill>
      <patternFill patternType="solid">
        <fgColor rgb="FF1E3A2F"/>
        <bgColor rgb="FF1E3A2F"/>
      </patternFill>
    </fill>
    <fill>
      <patternFill patternType="solid">
        <fgColor rgb="FFFFFFFF"/>
        <bgColor rgb="FFFFFFFF"/>
      </patternFill>
    </fill>
    <fill>
      <patternFill patternType="solid">
        <fgColor rgb="FFF4F7F5"/>
        <bgColor rgb="FFF4F7F5"/>
      </patternFill>
    </fill>
    <fill>
      <patternFill patternType="solid">
        <fgColor rgb="FF1F4E79"/>
        <bgColor rgb="FF1F4E79"/>
      </patternFill>
    </fill>
    <fill>
      <patternFill patternType="solid">
        <fgColor rgb="FF2F5597"/>
        <bgColor rgb="FF2F5597"/>
      </patternFill>
    </fill>
    <fill>
      <patternFill patternType="solid">
        <fgColor rgb="FFF2F2F2"/>
        <bgColor rgb="FFF2F2F2"/>
      </patternFill>
    </fill>
    <fill>
      <patternFill patternType="solid">
        <fgColor rgb="001F4E5F"/>
      </patternFill>
    </fill>
    <fill>
      <patternFill patternType="solid">
        <fgColor rgb="00D9E1F2"/>
      </patternFill>
    </fill>
    <fill>
      <patternFill patternType="solid">
        <fgColor rgb="00F2F2F2"/>
      </patternFill>
    </fill>
    <fill>
      <patternFill patternType="solid">
        <fgColor rgb="00FCE4D6"/>
      </patternFill>
    </fill>
    <fill>
      <patternFill patternType="solid">
        <fgColor rgb="00E2D9F3"/>
      </patternFill>
    </fill>
    <fill>
      <patternFill patternType="solid">
        <fgColor rgb="00D9D9D9"/>
      </patternFill>
    </fill>
    <fill>
      <patternFill patternType="solid">
        <fgColor rgb="00E2EFDA"/>
      </patternFill>
    </fill>
    <fill>
      <patternFill patternType="solid">
        <fgColor rgb="00FFF2CC"/>
      </patternFill>
    </fill>
    <fill>
      <patternFill patternType="solid">
        <fgColor rgb="00FCE4EC"/>
      </patternFill>
    </fill>
    <fill>
      <patternFill patternType="solid">
        <fgColor rgb="00FFFFFF"/>
      </patternFill>
    </fill>
  </fills>
  <borders count="8">
    <border>
      <left/>
      <right/>
      <top/>
      <bottom/>
      <diagonal/>
    </border>
    <border>
      <left style="thin">
        <color rgb="FFD3D3D3"/>
      </left>
      <right style="thin">
        <color rgb="FFD3D3D3"/>
      </right>
      <top style="thin">
        <color rgb="FFD3D3D3"/>
      </top>
      <bottom style="thin">
        <color rgb="FFD3D3D3"/>
      </bottom>
      <diagonal/>
    </border>
    <border>
      <left style="thin">
        <color rgb="FFD9D9D9"/>
      </left>
      <right style="thin">
        <color rgb="FFD9D9D9"/>
      </right>
      <top style="thin">
        <color rgb="FFD9D9D9"/>
      </top>
      <bottom style="thin">
        <color rgb="FFD9D9D9"/>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left/>
      <right/>
      <top style="thin">
        <color rgb="00BFBFBF"/>
      </top>
      <bottom style="thin">
        <color rgb="00BFBFBF"/>
      </bottom>
      <diagonal/>
    </border>
  </borders>
  <cellStyleXfs count="1">
    <xf numFmtId="0" fontId="0" fillId="0" borderId="0"/>
  </cellStyleXfs>
  <cellXfs count="75">
    <xf numFmtId="0" fontId="0" fillId="0" borderId="0" pivotButton="0" quotePrefix="0" xfId="0"/>
    <xf numFmtId="0" fontId="17" fillId="12" borderId="0" applyAlignment="1" pivotButton="0" quotePrefix="0" xfId="0">
      <alignment horizontal="center" vertical="center"/>
    </xf>
    <xf numFmtId="0" fontId="18" fillId="0" borderId="0" applyAlignment="1" pivotButton="0" quotePrefix="0" xfId="0">
      <alignment vertical="center" wrapText="1"/>
    </xf>
    <xf numFmtId="0" fontId="19" fillId="12" borderId="3" applyAlignment="1" pivotButton="0" quotePrefix="0" xfId="0">
      <alignment horizontal="center" vertical="center"/>
    </xf>
    <xf numFmtId="0" fontId="20" fillId="13" borderId="0" applyAlignment="1" pivotButton="0" quotePrefix="0" xfId="0">
      <alignment vertical="center" wrapText="1"/>
    </xf>
    <xf numFmtId="0" fontId="0" fillId="0" borderId="3" pivotButton="0" quotePrefix="0" xfId="0"/>
    <xf numFmtId="0" fontId="21" fillId="0" borderId="3" pivotButton="0" quotePrefix="0" xfId="0"/>
    <xf numFmtId="0" fontId="21" fillId="0" borderId="3" applyAlignment="1" pivotButton="0" quotePrefix="0" xfId="0">
      <alignment vertical="top" wrapText="1"/>
    </xf>
    <xf numFmtId="0" fontId="18" fillId="0" borderId="0" applyAlignment="1" pivotButton="0" quotePrefix="0" xfId="0">
      <alignment vertical="top" wrapText="1"/>
    </xf>
    <xf numFmtId="0" fontId="1" fillId="2" borderId="0" applyAlignment="1" pivotButton="0" quotePrefix="0" xfId="0">
      <alignment horizontal="center"/>
    </xf>
    <xf numFmtId="0" fontId="2" fillId="3" borderId="0" applyAlignment="1" pivotButton="0" quotePrefix="0" xfId="0">
      <alignment horizontal="center"/>
    </xf>
    <xf numFmtId="0" fontId="3" fillId="0" borderId="0" applyAlignment="1" pivotButton="0" quotePrefix="0" xfId="0">
      <alignment horizontal="center"/>
    </xf>
    <xf numFmtId="164" fontId="3" fillId="0" borderId="0" applyAlignment="1" pivotButton="0" quotePrefix="0" xfId="0">
      <alignment horizontal="center"/>
    </xf>
    <xf numFmtId="0" fontId="4" fillId="2" borderId="0" applyAlignment="1" pivotButton="0" quotePrefix="0" xfId="0">
      <alignment horizontal="center" vertical="center"/>
    </xf>
    <xf numFmtId="0" fontId="2" fillId="0" borderId="0" applyAlignment="1" pivotButton="0" quotePrefix="0" xfId="0">
      <alignment horizontal="center" vertical="center"/>
    </xf>
    <xf numFmtId="0" fontId="5" fillId="4" borderId="0" applyAlignment="1" pivotButton="0" quotePrefix="0" xfId="0">
      <alignment horizontal="center" vertical="center" wrapText="1"/>
    </xf>
    <xf numFmtId="165" fontId="3" fillId="0" borderId="0" pivotButton="0" quotePrefix="0" xfId="0"/>
    <xf numFmtId="166" fontId="3" fillId="0" borderId="0" pivotButton="0" quotePrefix="0" xfId="0"/>
    <xf numFmtId="2" fontId="3" fillId="0" borderId="0" pivotButton="0" quotePrefix="0" xfId="0"/>
    <xf numFmtId="0" fontId="5" fillId="5" borderId="0" pivotButton="0" quotePrefix="0" xfId="0"/>
    <xf numFmtId="49" fontId="5" fillId="5" borderId="0" pivotButton="0" quotePrefix="0" xfId="0"/>
    <xf numFmtId="49" fontId="3" fillId="0" borderId="0" applyAlignment="1" pivotButton="0" quotePrefix="0" xfId="0">
      <alignment horizontal="center"/>
    </xf>
    <xf numFmtId="167" fontId="3" fillId="0" borderId="0" applyAlignment="1" pivotButton="0" quotePrefix="0" xfId="0">
      <alignment horizontal="center"/>
    </xf>
    <xf numFmtId="2" fontId="3" fillId="0" borderId="0" applyAlignment="1" pivotButton="0" quotePrefix="0" xfId="0">
      <alignment horizontal="center"/>
    </xf>
    <xf numFmtId="0" fontId="6" fillId="0" borderId="0" applyAlignment="1" pivotButton="0" quotePrefix="0" xfId="0">
      <alignment horizontal="center"/>
    </xf>
    <xf numFmtId="0" fontId="7" fillId="0" borderId="0" applyAlignment="1" pivotButton="0" quotePrefix="0" xfId="0">
      <alignment horizontal="center"/>
    </xf>
    <xf numFmtId="0" fontId="8" fillId="0" borderId="0" pivotButton="0" quotePrefix="0" xfId="0"/>
    <xf numFmtId="0" fontId="9" fillId="6" borderId="1" applyAlignment="1" pivotButton="0" quotePrefix="0" xfId="0">
      <alignment horizontal="center" vertical="center" wrapText="1"/>
    </xf>
    <xf numFmtId="0" fontId="10" fillId="7" borderId="1" applyAlignment="1" pivotButton="0" quotePrefix="0" xfId="0">
      <alignment horizontal="center" vertical="center"/>
    </xf>
    <xf numFmtId="0" fontId="10" fillId="8" borderId="1" applyAlignment="1" pivotButton="0" quotePrefix="0" xfId="0">
      <alignment horizontal="center" vertical="center"/>
    </xf>
    <xf numFmtId="0" fontId="9" fillId="6" borderId="1" applyAlignment="1" pivotButton="0" quotePrefix="0" xfId="0">
      <alignment horizontal="center" vertical="center"/>
    </xf>
    <xf numFmtId="0" fontId="11" fillId="9" borderId="0" applyAlignment="1" pivotButton="0" quotePrefix="0" xfId="0">
      <alignment horizontal="left" vertical="center" indent="1"/>
    </xf>
    <xf numFmtId="0" fontId="9" fillId="10" borderId="0" applyAlignment="1" pivotButton="0" quotePrefix="0" xfId="0">
      <alignment horizontal="center" vertical="center"/>
    </xf>
    <xf numFmtId="0" fontId="12" fillId="0" borderId="2" applyAlignment="1" pivotButton="0" quotePrefix="0" xfId="0">
      <alignment horizontal="center" vertical="center"/>
    </xf>
    <xf numFmtId="0" fontId="13" fillId="0" borderId="2" applyAlignment="1" pivotButton="0" quotePrefix="0" xfId="0">
      <alignment horizontal="center" vertical="center"/>
    </xf>
    <xf numFmtId="0" fontId="14" fillId="9" borderId="0" applyAlignment="1" pivotButton="0" quotePrefix="0" xfId="0">
      <alignment horizontal="left" vertical="center" indent="1"/>
    </xf>
    <xf numFmtId="0" fontId="12" fillId="0" borderId="2" applyAlignment="1" pivotButton="0" quotePrefix="0" xfId="0">
      <alignment vertical="center" wrapText="1"/>
    </xf>
    <xf numFmtId="0" fontId="13" fillId="0" borderId="2" applyAlignment="1" pivotButton="0" quotePrefix="0" xfId="0">
      <alignment vertical="center" wrapText="1"/>
    </xf>
    <xf numFmtId="0" fontId="15" fillId="0" borderId="0" pivotButton="0" quotePrefix="0" xfId="0"/>
    <xf numFmtId="0" fontId="16" fillId="11" borderId="0" applyAlignment="1" pivotButton="0" quotePrefix="0" xfId="0">
      <alignment vertical="top" wrapText="1"/>
    </xf>
    <xf numFmtId="0" fontId="22" fillId="12" borderId="0" pivotButton="0" quotePrefix="0" xfId="0"/>
    <xf numFmtId="0" fontId="20" fillId="13" borderId="0" pivotButton="0" quotePrefix="0" xfId="0"/>
    <xf numFmtId="0" fontId="23" fillId="0" borderId="0" pivotButton="0" quotePrefix="0" xfId="0"/>
    <xf numFmtId="0" fontId="24" fillId="0" borderId="0" applyAlignment="1" pivotButton="0" quotePrefix="0" xfId="0">
      <alignment vertical="top" wrapText="1"/>
    </xf>
    <xf numFmtId="0" fontId="22" fillId="12" borderId="0" applyAlignment="1" pivotButton="0" quotePrefix="0" xfId="0">
      <alignment horizontal="left" vertical="center"/>
    </xf>
    <xf numFmtId="0" fontId="27" fillId="14" borderId="0" applyAlignment="1" pivotButton="0" quotePrefix="0" xfId="0">
      <alignment horizontal="left" vertical="center"/>
    </xf>
    <xf numFmtId="0" fontId="25" fillId="21" borderId="3" applyAlignment="1" pivotButton="0" quotePrefix="0" xfId="0">
      <alignment horizontal="center" vertical="center" wrapText="1"/>
    </xf>
    <xf numFmtId="0" fontId="0" fillId="21" borderId="3" pivotButton="0" quotePrefix="0" xfId="0"/>
    <xf numFmtId="0" fontId="25" fillId="19" borderId="3" applyAlignment="1" pivotButton="0" quotePrefix="0" xfId="0">
      <alignment horizontal="center" vertical="center" wrapText="1"/>
    </xf>
    <xf numFmtId="0" fontId="0" fillId="19" borderId="3" pivotButton="0" quotePrefix="0" xfId="0"/>
    <xf numFmtId="0" fontId="25" fillId="18" borderId="3" applyAlignment="1" pivotButton="0" quotePrefix="0" xfId="0">
      <alignment horizontal="center" vertical="center" wrapText="1"/>
    </xf>
    <xf numFmtId="0" fontId="0" fillId="18" borderId="3" pivotButton="0" quotePrefix="0" xfId="0"/>
    <xf numFmtId="0" fontId="25" fillId="20" borderId="3" applyAlignment="1" pivotButton="0" quotePrefix="0" xfId="0">
      <alignment horizontal="center" vertical="center" wrapText="1"/>
    </xf>
    <xf numFmtId="0" fontId="26" fillId="21" borderId="3" applyAlignment="1" pivotButton="0" quotePrefix="0" xfId="0">
      <alignment horizontal="center" vertical="center" wrapText="1"/>
    </xf>
    <xf numFmtId="0" fontId="26" fillId="19" borderId="3" applyAlignment="1" pivotButton="0" quotePrefix="0" xfId="0">
      <alignment horizontal="center" vertical="center" wrapText="1"/>
    </xf>
    <xf numFmtId="0" fontId="26" fillId="18" borderId="3" applyAlignment="1" pivotButton="0" quotePrefix="0" xfId="0">
      <alignment horizontal="center" vertical="center" wrapText="1"/>
    </xf>
    <xf numFmtId="0" fontId="26" fillId="20" borderId="3" applyAlignment="1" pivotButton="0" quotePrefix="0" xfId="0">
      <alignment horizontal="center" vertical="center" wrapText="1"/>
    </xf>
    <xf numFmtId="0" fontId="21" fillId="0" borderId="3" applyAlignment="1" pivotButton="0" quotePrefix="0" xfId="0">
      <alignment horizontal="center" vertical="center"/>
    </xf>
    <xf numFmtId="0" fontId="25" fillId="14" borderId="3" applyAlignment="1" pivotButton="0" quotePrefix="0" xfId="0">
      <alignment horizontal="center" vertical="center" wrapText="1"/>
    </xf>
    <xf numFmtId="0" fontId="0" fillId="14" borderId="3" pivotButton="0" quotePrefix="0" xfId="0"/>
    <xf numFmtId="0" fontId="25" fillId="13" borderId="3" applyAlignment="1" pivotButton="0" quotePrefix="0" xfId="0">
      <alignment horizontal="center" vertical="center" wrapText="1"/>
    </xf>
    <xf numFmtId="0" fontId="0" fillId="13" borderId="3" pivotButton="0" quotePrefix="0" xfId="0"/>
    <xf numFmtId="0" fontId="25" fillId="15" borderId="3" applyAlignment="1" pivotButton="0" quotePrefix="0" xfId="0">
      <alignment horizontal="center" vertical="center" wrapText="1"/>
    </xf>
    <xf numFmtId="0" fontId="0" fillId="15" borderId="3" pivotButton="0" quotePrefix="0" xfId="0"/>
    <xf numFmtId="0" fontId="25" fillId="16" borderId="3" applyAlignment="1" pivotButton="0" quotePrefix="0" xfId="0">
      <alignment horizontal="center" vertical="center" wrapText="1"/>
    </xf>
    <xf numFmtId="0" fontId="0" fillId="16" borderId="3" pivotButton="0" quotePrefix="0" xfId="0"/>
    <xf numFmtId="0" fontId="25" fillId="17" borderId="3" applyAlignment="1" pivotButton="0" quotePrefix="0" xfId="0">
      <alignment horizontal="center" vertical="center" wrapText="1"/>
    </xf>
    <xf numFmtId="0" fontId="0" fillId="20" borderId="3" pivotButton="0" quotePrefix="0" xfId="0"/>
    <xf numFmtId="0" fontId="26" fillId="14" borderId="3" applyAlignment="1" pivotButton="0" quotePrefix="0" xfId="0">
      <alignment horizontal="center" vertical="center" wrapText="1"/>
    </xf>
    <xf numFmtId="0" fontId="26" fillId="13" borderId="3" applyAlignment="1" pivotButton="0" quotePrefix="0" xfId="0">
      <alignment horizontal="center" vertical="center" wrapText="1"/>
    </xf>
    <xf numFmtId="0" fontId="26" fillId="15" borderId="3" applyAlignment="1" pivotButton="0" quotePrefix="0" xfId="0">
      <alignment horizontal="center" vertical="center" wrapText="1"/>
    </xf>
    <xf numFmtId="0" fontId="26" fillId="16" borderId="3" applyAlignment="1" pivotButton="0" quotePrefix="0" xfId="0">
      <alignment horizontal="center" vertical="center" wrapText="1"/>
    </xf>
    <xf numFmtId="0" fontId="26" fillId="17" borderId="3" applyAlignment="1" pivotButton="0" quotePrefix="0" xfId="0">
      <alignment horizontal="center" vertical="center" wrapText="1"/>
    </xf>
    <xf numFmtId="0" fontId="0" fillId="0" borderId="6" pivotButton="0" quotePrefix="0" xfId="0"/>
    <xf numFmtId="0" fontId="0" fillId="0" borderId="7" pivotButton="0" quotePrefix="0" xfId="0"/>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styles" Target="styles.xml" Id="rId17" /><Relationship Type="http://schemas.openxmlformats.org/officeDocument/2006/relationships/theme" Target="theme/theme1.xml" Id="rId18"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D27"/>
  <sheetViews>
    <sheetView showGridLines="0" workbookViewId="0">
      <selection activeCell="A1" sqref="A1"/>
    </sheetView>
  </sheetViews>
  <sheetFormatPr baseColWidth="8" defaultRowHeight="15"/>
  <cols>
    <col width="26" customWidth="1" min="1" max="1"/>
    <col width="42" customWidth="1" min="2" max="2"/>
    <col width="46" customWidth="1" min="3" max="3"/>
    <col width="22" customWidth="1" min="4" max="4"/>
  </cols>
  <sheetData>
    <row r="1" ht="30" customHeight="1">
      <c r="A1" s="1" t="inlineStr">
        <is>
          <t>Vegas Strategy Plan － 整合總覽</t>
        </is>
      </c>
    </row>
    <row r="2" ht="34" customHeight="1">
      <c r="A2" s="2" t="inlineStr">
        <is>
          <t>本檔案整合 4 份原始工作表檔案的資料表，依模組分類保留所有分頁與公式；來源檔名於上傳過程遺失中文名稱，已依內容重新命名並於下方對照。</t>
        </is>
      </c>
    </row>
    <row r="4">
      <c r="A4" s="3" t="inlineStr">
        <is>
          <t>模組</t>
        </is>
      </c>
      <c r="B4" s="3" t="inlineStr">
        <is>
          <t>分頁名稱</t>
        </is>
      </c>
      <c r="C4" s="3" t="inlineStr">
        <is>
          <t>說明</t>
        </is>
      </c>
      <c r="D4" s="3" t="inlineStr">
        <is>
          <t>來源檔案</t>
        </is>
      </c>
    </row>
    <row r="5" ht="20" customHeight="1">
      <c r="A5" s="4" t="inlineStr">
        <is>
          <t>A. 個人化 SL 風控監控 － (12大商品即時監控)</t>
        </is>
      </c>
    </row>
    <row r="6" ht="32" customHeight="1">
      <c r="A6" s="5" t="inlineStr"/>
      <c r="B6" s="6" t="inlineStr">
        <is>
          <t>Dashboard_SL監控</t>
        </is>
      </c>
      <c r="C6" s="7" t="inlineStr">
        <is>
          <t>12大商品即時 Bid／昨收／昨高比對，含個人化 SL 風控警戒判定</t>
        </is>
      </c>
      <c r="D6" s="6" t="inlineStr">
        <is>
          <t>來源檔 A</t>
        </is>
      </c>
    </row>
    <row r="7" ht="32" customHeight="1">
      <c r="A7" s="5" t="inlineStr"/>
      <c r="B7" s="6" t="inlineStr">
        <is>
          <t>Config_SL</t>
        </is>
      </c>
      <c r="C7" s="7" t="inlineStr">
        <is>
          <t>各商品個人化 SL 點數設定與商品類別</t>
        </is>
      </c>
      <c r="D7" s="6" t="inlineStr">
        <is>
          <t>來源檔 A</t>
        </is>
      </c>
    </row>
    <row r="8" ht="32" customHeight="1">
      <c r="A8" s="5" t="inlineStr"/>
      <c r="B8" s="6" t="inlineStr">
        <is>
          <t>Data_Feed</t>
        </is>
      </c>
      <c r="C8" s="7" t="inlineStr">
        <is>
          <t>各商品即時報價與三盤複合共振分析來源資料</t>
        </is>
      </c>
      <c r="D8" s="6" t="inlineStr">
        <is>
          <t>來源檔 A</t>
        </is>
      </c>
    </row>
    <row r="9" ht="20" customHeight="1">
      <c r="A9" s="4" t="inlineStr">
        <is>
          <t>C. 商品分析報告 v9（最新） － (12大商品 11指標综合)</t>
        </is>
      </c>
    </row>
    <row r="10" ht="32" customHeight="1">
      <c r="A10" s="5" t="inlineStr"/>
      <c r="B10" s="6" t="inlineStr">
        <is>
          <t>商品分析報告_v9最新</t>
        </is>
      </c>
      <c r="C10" s="7" t="inlineStr">
        <is>
          <t>12大商品：支撐壓力＋亞/歐/美盤高低＋均線趨勢＋成交量＋11指標綜合分數／K棒型態／M15,H1共振／突破判斷／量能確認突破（新增：亞歐美盤高低6欄、量能確認突破判定欄）</t>
        </is>
      </c>
      <c r="D10" s="6" t="inlineStr">
        <is>
          <t>來源檔 C（v9，最後更新 2026.09.13）</t>
        </is>
      </c>
    </row>
    <row r="11" ht="32" customHeight="1">
      <c r="A11" s="5" t="inlineStr"/>
      <c r="B11" s="6" t="inlineStr">
        <is>
          <t>Data_v9最新</t>
        </is>
      </c>
      <c r="C11" s="7" t="inlineStr">
        <is>
          <t>商品分析報告 v9 的原始資料來源（Excel_Monitor.csv 39欄）</t>
        </is>
      </c>
      <c r="D11" s="6" t="inlineStr">
        <is>
          <t>來源檔 C</t>
        </is>
      </c>
    </row>
    <row r="12" ht="20" customHeight="1">
      <c r="A12" s="4" t="inlineStr">
        <is>
          <t>B. 商品分析報告 v5（存檔） － (8大商品版本，供歷史比對)</t>
        </is>
      </c>
    </row>
    <row r="13" ht="32" customHeight="1">
      <c r="A13" s="5" t="inlineStr"/>
      <c r="B13" s="6" t="inlineStr">
        <is>
          <t>商品分析報告_v5存檔</t>
        </is>
      </c>
      <c r="C13" s="7" t="inlineStr">
        <is>
          <t>早期 8 大商品版本之支撐壓力／均線／成交量分析（v9 已擴充取代，保留供比對）</t>
        </is>
      </c>
      <c r="D13" s="6" t="inlineStr">
        <is>
          <t>來源檔 B（v5）</t>
        </is>
      </c>
    </row>
    <row r="14" ht="32" customHeight="1">
      <c r="A14" s="5" t="inlineStr"/>
      <c r="B14" s="6" t="inlineStr">
        <is>
          <t>Data_v5存檔</t>
        </is>
      </c>
      <c r="C14" s="7" t="inlineStr">
        <is>
          <t>商品分析報告 v5 的原始資料來源（Excel_Monitor.csv 32欄）</t>
        </is>
      </c>
      <c r="D14" s="6" t="inlineStr">
        <is>
          <t>來源檔 B</t>
        </is>
      </c>
    </row>
    <row r="15" ht="20" customHeight="1">
      <c r="A15" s="4" t="inlineStr">
        <is>
          <t>D. 回測與優化 － (M5雙策略、配對交易)</t>
        </is>
      </c>
    </row>
    <row r="16" ht="32" customHeight="1">
      <c r="A16" s="5" t="inlineStr"/>
      <c r="B16" s="6" t="inlineStr">
        <is>
          <t>回測控制與儀表板</t>
        </is>
      </c>
      <c r="C16" s="7" t="inlineStr">
        <is>
          <t>8大商品 x 2大 M5策略、11大指標已歸類為【趨勢類／震盪類／波動風控類】3大類、含對沖商品、亞/歐/美盤高低、近支撐壓力、量能狀態與量能確認突破、實戰訊號</t>
        </is>
      </c>
      <c r="D16" s="6" t="inlineStr">
        <is>
          <t>來源檔 D</t>
        </is>
      </c>
    </row>
    <row r="17" ht="32" customHeight="1">
      <c r="A17" s="5" t="inlineStr"/>
      <c r="B17" s="6" t="inlineStr">
        <is>
          <t>Data_回測</t>
        </is>
      </c>
      <c r="C17" s="7" t="inlineStr">
        <is>
          <t>回測控制與儀表板之原始資料備份（結構相同）</t>
        </is>
      </c>
      <c r="D17" s="6" t="inlineStr">
        <is>
          <t>來源檔 D</t>
        </is>
      </c>
    </row>
    <row r="18" ht="32" customHeight="1">
      <c r="A18" s="5" t="inlineStr"/>
      <c r="B18" s="6" t="inlineStr">
        <is>
          <t>參數設定與明細</t>
        </is>
      </c>
      <c r="C18" s="7" t="inlineStr">
        <is>
          <t>USDJPY 多週期(M5/H1/H4/D1) 雙策略最佳參數設定明細</t>
        </is>
      </c>
      <c r="D18" s="6" t="inlineStr">
        <is>
          <t>來源檔 D</t>
        </is>
      </c>
    </row>
    <row r="19" ht="32" customHeight="1">
      <c r="A19" s="5" t="inlineStr"/>
      <c r="B19" s="6" t="inlineStr">
        <is>
          <t>歷史回測紀錄</t>
        </is>
      </c>
      <c r="C19" s="7" t="inlineStr">
        <is>
          <t>USDJPY M5 雙策略 3 年歷史回測績效紀錄</t>
        </is>
      </c>
      <c r="D19" s="6" t="inlineStr">
        <is>
          <t>來源檔 D</t>
        </is>
      </c>
    </row>
    <row r="20" ht="32" customHeight="1">
      <c r="A20" s="5" t="inlineStr"/>
      <c r="B20" s="6" t="inlineStr">
        <is>
          <t>各週期動態優化方案</t>
        </is>
      </c>
      <c r="C20" s="7" t="inlineStr">
        <is>
          <t>M5/H1/H4/D1 各週期動態 ATR SL/TP 與指標門檻優化方案</t>
        </is>
      </c>
      <c r="D20" s="6" t="inlineStr">
        <is>
          <t>來源檔 D</t>
        </is>
      </c>
    </row>
    <row r="21" ht="32" customHeight="1">
      <c r="A21" s="5" t="inlineStr"/>
      <c r="B21" s="6" t="inlineStr">
        <is>
          <t>配對交易與最佳方案</t>
        </is>
      </c>
      <c r="C21" s="7" t="inlineStr">
        <is>
          <t>多商品配對交易(Stat-Arb)相關係數、對沖比例與回測績效</t>
        </is>
      </c>
      <c r="D21" s="6" t="inlineStr">
        <is>
          <t>來源檔 D</t>
        </is>
      </c>
    </row>
    <row r="22" ht="32" customHeight="1">
      <c r="A22" s="5" t="inlineStr"/>
      <c r="B22" s="6" t="inlineStr">
        <is>
          <t>歷史資料下載與匯入模組</t>
        </is>
      </c>
      <c r="C22" s="7" t="inlineStr">
        <is>
          <t>MT5 3年歷史資料自動化匯出與 VBA 串接模組說明文件</t>
        </is>
      </c>
      <c r="D22" s="6" t="inlineStr">
        <is>
          <t>來源檔 D</t>
        </is>
      </c>
    </row>
    <row r="24" ht="90" customHeight="1">
      <c r="A24" s="8" t="inlineStr">
        <is>
          <t>備註：原始 4 份 .xlsm 檔皆內含 VBA 巨集（自動更新儀表板 / 產生回測表 / 讀取 MT5 CSV 等）。由於 4 份檔案的巨集彼此獨立且部分程序同名（如「手動一鍵更新三大策略報告」於 B、C 兩檔重複），直接合併二進位 VBA 專案有覆蓋風險，故本整合檔僅保留工作表資料與公式，未內嵌可執行巨集。各模組原始 VBA 原始碼已完整備份於「VBA原始碼備份(僅供參考)」分頁，供日後如需要恢復自動化時參考／貼回對應的獨立檔案。</t>
        </is>
      </c>
    </row>
    <row r="27" ht="160" customHeight="1">
      <c r="A27" s="8" t="inlineStr">
        <is>
          <t>更新備註：
1) 「回測控制與儀表板」11大指標欄位已重新分組為 3 類（趨勢類=EMA/MACD；震盪類=RSI/KD/PSY/CCI；波動風控類=ATR/BB/Keltner/優化勝率/夏普比率），並新增即時Bid、亞/歐/美盤高低、近支撐壓力、量能狀態、量能確認突破欄位（依「主力商品」比對 Data_v9最新 取得，找不到對應商品時留白）。
2) 「商品分析報告_v9最新」新增亞/歐/美盤高低與「量能確認突破」欄：判斷即時Bid是否突破週/近支撐壓力或亞歐美盤高低區間，並比對量能狀態（放量／正常／縮量）以標示是否為量能確認的有效突破，或僅是量縮的疑似假突破／假跌破。
3) 資料品質提醒：來源檔 C（Data_v9最新）第 9 列商品代碼標示為「USDCNH」，但其報價與支撐壓力數值（約4300上下）明顯屬於黃金價位而非人民幣匯率，研判是原始 MT5/VBA 匯出時的商品代碼標記有誤；本次整合未更動其數值，僅忠實照原始欄位比對，建議之後回頭確認 ExcelMonitor_All.mq5 的商品清單設定。也因此「回測控制與儀表板」中 XAUUSD／XAGUSD 兩商品目前查無對應的即時亞歐美盤/支撐壓力資料（Data_v9最新 沒有這兩個代碼），對應欄位會留白，屬於資料來源缺口而非公式錯誤。</t>
        </is>
      </c>
    </row>
  </sheetData>
  <mergeCells count="8">
    <mergeCell ref="A1:D1"/>
    <mergeCell ref="A5:D5"/>
    <mergeCell ref="A9:D9"/>
    <mergeCell ref="A27:D27"/>
    <mergeCell ref="A12:D12"/>
    <mergeCell ref="A15:D15"/>
    <mergeCell ref="A24:D24"/>
    <mergeCell ref="A2:D2"/>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N16"/>
  <sheetViews>
    <sheetView workbookViewId="0">
      <selection activeCell="A1" sqref="A1"/>
    </sheetView>
  </sheetViews>
  <sheetFormatPr baseColWidth="8" defaultRowHeight="15"/>
  <cols>
    <col width="11.42578125" customWidth="1" min="1" max="1"/>
    <col width="6.28515625" customWidth="1" min="2" max="2"/>
    <col width="13.7109375" customWidth="1" min="3" max="3"/>
    <col width="13.140625" customWidth="1" min="4" max="4"/>
    <col width="11" customWidth="1" min="5" max="5"/>
    <col width="13.140625" customWidth="1" min="6" max="6"/>
    <col width="18.7109375" customWidth="1" min="7" max="7"/>
    <col width="18.28515625" customWidth="1" min="8" max="8"/>
    <col width="13.5703125" customWidth="1" min="9" max="9"/>
    <col width="12.28515625" customWidth="1" min="11" max="11"/>
    <col width="30" customWidth="1" min="12" max="12"/>
    <col width="46" customWidth="1" min="13" max="13"/>
    <col width="33.5703125" customWidth="1" min="14" max="14"/>
  </cols>
  <sheetData>
    <row r="1" ht="35.1" customHeight="1">
      <c r="A1" s="9" t="inlineStr">
        <is>
          <t xml:space="preserve"> 12 大商品即時監控與昨收對比 (2026/09/10 數據) / 個人化 SL 聯動 </t>
        </is>
      </c>
    </row>
    <row r="4" ht="24.95" customHeight="1">
      <c r="A4" s="10" t="inlineStr">
        <is>
          <t>商品代碼</t>
        </is>
      </c>
      <c r="B4" s="10" t="inlineStr">
        <is>
          <t>類別</t>
        </is>
      </c>
      <c r="C4" s="10" t="inlineStr">
        <is>
          <t>即時 Bid 價</t>
        </is>
      </c>
      <c r="D4" s="10" t="inlineStr">
        <is>
          <t>昨收 (9/10)</t>
        </is>
      </c>
      <c r="E4" s="10" t="inlineStr">
        <is>
          <t>歐盤中軸</t>
        </is>
      </c>
      <c r="F4" s="10" t="inlineStr">
        <is>
          <t>昨高 (9/10)</t>
        </is>
      </c>
      <c r="G4" s="10" t="inlineStr">
        <is>
          <t>對比昨收漲跌點</t>
        </is>
      </c>
      <c r="H4" s="10" t="inlineStr">
        <is>
          <t>當日漲跌幅 (%)</t>
        </is>
      </c>
      <c r="I4" s="10" t="inlineStr">
        <is>
          <t>距昨高點差</t>
        </is>
      </c>
      <c r="J4" s="10" t="inlineStr">
        <is>
          <t>距昨收點差</t>
        </is>
      </c>
      <c r="K4" s="10" t="inlineStr">
        <is>
          <t>個人化 SL</t>
        </is>
      </c>
      <c r="L4" s="10" t="inlineStr">
        <is>
          <t>指標共振狀態</t>
        </is>
      </c>
      <c r="M4" s="10" t="inlineStr">
        <is>
          <t>三盤極限判定</t>
        </is>
      </c>
      <c r="N4" s="10" t="inlineStr">
        <is>
          <t>風控聯動指引</t>
        </is>
      </c>
    </row>
    <row r="5">
      <c r="A5" s="11">
        <f>Data_Feed!A2</f>
        <v/>
      </c>
      <c r="B5" s="11">
        <f>Config_SL!C2</f>
        <v/>
      </c>
      <c r="C5" s="11">
        <f>Data_Feed!B2</f>
        <v/>
      </c>
      <c r="D5" s="11">
        <f>Data_Feed!C2</f>
        <v/>
      </c>
      <c r="E5" s="11">
        <f>Data_Feed!D2</f>
        <v/>
      </c>
      <c r="F5" s="11">
        <f>Data_Feed!E2</f>
        <v/>
      </c>
      <c r="G5" s="11">
        <f>C5-D5</f>
        <v/>
      </c>
      <c r="H5" s="12">
        <f>(C5-D5)/D5</f>
        <v/>
      </c>
      <c r="I5" s="11">
        <f>F5-C5</f>
        <v/>
      </c>
      <c r="J5" s="11">
        <f>C5-D5</f>
        <v/>
      </c>
      <c r="K5" s="11">
        <f>Config_SL!B2</f>
        <v/>
      </c>
      <c r="L5" s="11" t="inlineStr">
        <is>
          <t>EMA/MACD動能複合共振中</t>
        </is>
      </c>
      <c r="M5" s="11">
        <f>Data_Feed!F2</f>
        <v/>
      </c>
      <c r="N5" s="11">
        <f>IF(I5&lt;=K5,"【高位警戒】觸及 SL 風控防線","【安全運行】空間充足")</f>
        <v/>
      </c>
    </row>
    <row r="6">
      <c r="A6" s="11">
        <f>Data_Feed!A3</f>
        <v/>
      </c>
      <c r="B6" s="11">
        <f>Config_SL!C3</f>
        <v/>
      </c>
      <c r="C6" s="11">
        <f>Data_Feed!B3</f>
        <v/>
      </c>
      <c r="D6" s="11">
        <f>Data_Feed!C3</f>
        <v/>
      </c>
      <c r="E6" s="11">
        <f>Data_Feed!D3</f>
        <v/>
      </c>
      <c r="F6" s="11">
        <f>Data_Feed!E3</f>
        <v/>
      </c>
      <c r="G6" s="11">
        <f>C6-D6</f>
        <v/>
      </c>
      <c r="H6" s="12">
        <f>(C6-D6)/D6</f>
        <v/>
      </c>
      <c r="I6" s="11">
        <f>F6-C6</f>
        <v/>
      </c>
      <c r="J6" s="11">
        <f>C6-D6</f>
        <v/>
      </c>
      <c r="K6" s="11">
        <f>Config_SL!B3</f>
        <v/>
      </c>
      <c r="L6" s="11" t="inlineStr">
        <is>
          <t>EMA/MACD動能複合共振中</t>
        </is>
      </c>
      <c r="M6" s="11">
        <f>Data_Feed!F3</f>
        <v/>
      </c>
      <c r="N6" s="11">
        <f>IF(I6&lt;=K6,"【高位警戒】觸及 SL 風控防線","【安全運行】空間充足")</f>
        <v/>
      </c>
    </row>
    <row r="7">
      <c r="A7" s="11">
        <f>Data_Feed!A4</f>
        <v/>
      </c>
      <c r="B7" s="11">
        <f>Config_SL!C4</f>
        <v/>
      </c>
      <c r="C7" s="11">
        <f>Data_Feed!B4</f>
        <v/>
      </c>
      <c r="D7" s="11">
        <f>Data_Feed!C4</f>
        <v/>
      </c>
      <c r="E7" s="11">
        <f>Data_Feed!D4</f>
        <v/>
      </c>
      <c r="F7" s="11">
        <f>Data_Feed!E4</f>
        <v/>
      </c>
      <c r="G7" s="11">
        <f>C7-D7</f>
        <v/>
      </c>
      <c r="H7" s="12">
        <f>(C7-D7)/D7</f>
        <v/>
      </c>
      <c r="I7" s="11">
        <f>F7-C7</f>
        <v/>
      </c>
      <c r="J7" s="11">
        <f>C7-D7</f>
        <v/>
      </c>
      <c r="K7" s="11">
        <f>Config_SL!B4</f>
        <v/>
      </c>
      <c r="L7" s="11" t="inlineStr">
        <is>
          <t>EMA/MACD動能複合共振中</t>
        </is>
      </c>
      <c r="M7" s="11">
        <f>Data_Feed!F4</f>
        <v/>
      </c>
      <c r="N7" s="11">
        <f>IF(I7&lt;=K7,"【高位警戒】觸及 SL 風控防線","【安全運行】空間充足")</f>
        <v/>
      </c>
    </row>
    <row r="8">
      <c r="A8" s="11">
        <f>Data_Feed!A5</f>
        <v/>
      </c>
      <c r="B8" s="11">
        <f>Config_SL!C5</f>
        <v/>
      </c>
      <c r="C8" s="11">
        <f>Data_Feed!B5</f>
        <v/>
      </c>
      <c r="D8" s="11">
        <f>Data_Feed!C5</f>
        <v/>
      </c>
      <c r="E8" s="11">
        <f>Data_Feed!D5</f>
        <v/>
      </c>
      <c r="F8" s="11">
        <f>Data_Feed!E5</f>
        <v/>
      </c>
      <c r="G8" s="11">
        <f>C8-D8</f>
        <v/>
      </c>
      <c r="H8" s="12">
        <f>(C8-D8)/D8</f>
        <v/>
      </c>
      <c r="I8" s="11">
        <f>F8-C8</f>
        <v/>
      </c>
      <c r="J8" s="11">
        <f>C8-D8</f>
        <v/>
      </c>
      <c r="K8" s="11">
        <f>Config_SL!B5</f>
        <v/>
      </c>
      <c r="L8" s="11" t="inlineStr">
        <is>
          <t>EMA/MACD動能複合共振中</t>
        </is>
      </c>
      <c r="M8" s="11">
        <f>Data_Feed!F5</f>
        <v/>
      </c>
      <c r="N8" s="11">
        <f>IF(I8&lt;=K8,"【高位警戒】觸及 SL 風控防線","【安全運行】空間充足")</f>
        <v/>
      </c>
    </row>
    <row r="9">
      <c r="A9" s="11">
        <f>Data_Feed!A6</f>
        <v/>
      </c>
      <c r="B9" s="11">
        <f>Config_SL!C6</f>
        <v/>
      </c>
      <c r="C9" s="11">
        <f>Data_Feed!B6</f>
        <v/>
      </c>
      <c r="D9" s="11">
        <f>Data_Feed!C6</f>
        <v/>
      </c>
      <c r="E9" s="11">
        <f>Data_Feed!D6</f>
        <v/>
      </c>
      <c r="F9" s="11">
        <f>Data_Feed!E6</f>
        <v/>
      </c>
      <c r="G9" s="11">
        <f>C9-D9</f>
        <v/>
      </c>
      <c r="H9" s="12">
        <f>(C9-D9)/D9</f>
        <v/>
      </c>
      <c r="I9" s="11">
        <f>F9-C9</f>
        <v/>
      </c>
      <c r="J9" s="11">
        <f>C9-D9</f>
        <v/>
      </c>
      <c r="K9" s="11">
        <f>Config_SL!B6</f>
        <v/>
      </c>
      <c r="L9" s="11" t="inlineStr">
        <is>
          <t>EMA/MACD動能複合共振中</t>
        </is>
      </c>
      <c r="M9" s="11">
        <f>Data_Feed!F6</f>
        <v/>
      </c>
      <c r="N9" s="11">
        <f>IF(I9&lt;=K9,"【高位警戒】觸及 SL 風控防線","【安全運行】空間充足")</f>
        <v/>
      </c>
    </row>
    <row r="10">
      <c r="A10" s="11">
        <f>Data_Feed!A7</f>
        <v/>
      </c>
      <c r="B10" s="11">
        <f>Config_SL!C7</f>
        <v/>
      </c>
      <c r="C10" s="11">
        <f>Data_Feed!B7</f>
        <v/>
      </c>
      <c r="D10" s="11">
        <f>Data_Feed!C7</f>
        <v/>
      </c>
      <c r="E10" s="11">
        <f>Data_Feed!D7</f>
        <v/>
      </c>
      <c r="F10" s="11">
        <f>Data_Feed!E7</f>
        <v/>
      </c>
      <c r="G10" s="11">
        <f>C10-D10</f>
        <v/>
      </c>
      <c r="H10" s="12">
        <f>(C10-D10)/D10</f>
        <v/>
      </c>
      <c r="I10" s="11">
        <f>F10-C10</f>
        <v/>
      </c>
      <c r="J10" s="11">
        <f>C10-D10</f>
        <v/>
      </c>
      <c r="K10" s="11">
        <f>Config_SL!B7</f>
        <v/>
      </c>
      <c r="L10" s="11" t="inlineStr">
        <is>
          <t>EMA/MACD動能複合共振中</t>
        </is>
      </c>
      <c r="M10" s="11">
        <f>Data_Feed!F7</f>
        <v/>
      </c>
      <c r="N10" s="11">
        <f>IF(I10&lt;=K10,"【高位警戒】觸及 SL 風控防線","【安全運行】空間充足")</f>
        <v/>
      </c>
    </row>
    <row r="11">
      <c r="A11" s="11">
        <f>Data_Feed!A8</f>
        <v/>
      </c>
      <c r="B11" s="11">
        <f>Config_SL!C8</f>
        <v/>
      </c>
      <c r="C11" s="11">
        <f>Data_Feed!B8</f>
        <v/>
      </c>
      <c r="D11" s="11">
        <f>Data_Feed!C8</f>
        <v/>
      </c>
      <c r="E11" s="11">
        <f>Data_Feed!D8</f>
        <v/>
      </c>
      <c r="F11" s="11">
        <f>Data_Feed!E8</f>
        <v/>
      </c>
      <c r="G11" s="11">
        <f>C11-D11</f>
        <v/>
      </c>
      <c r="H11" s="12">
        <f>(C11-D11)/D11</f>
        <v/>
      </c>
      <c r="I11" s="11">
        <f>F11-C11</f>
        <v/>
      </c>
      <c r="J11" s="11">
        <f>C11-D11</f>
        <v/>
      </c>
      <c r="K11" s="11">
        <f>Config_SL!B8</f>
        <v/>
      </c>
      <c r="L11" s="11" t="inlineStr">
        <is>
          <t>EMA/MACD動能複合共振中</t>
        </is>
      </c>
      <c r="M11" s="11">
        <f>Data_Feed!F8</f>
        <v/>
      </c>
      <c r="N11" s="11">
        <f>IF(I11&lt;=K11,"【高位警戒】觸及 SL 風控防線","【安全運行】空間充足")</f>
        <v/>
      </c>
    </row>
    <row r="12">
      <c r="A12" s="11">
        <f>Data_Feed!A9</f>
        <v/>
      </c>
      <c r="B12" s="11">
        <f>Config_SL!C9</f>
        <v/>
      </c>
      <c r="C12" s="11">
        <f>Data_Feed!B9</f>
        <v/>
      </c>
      <c r="D12" s="11">
        <f>Data_Feed!C9</f>
        <v/>
      </c>
      <c r="E12" s="11">
        <f>Data_Feed!D9</f>
        <v/>
      </c>
      <c r="F12" s="11">
        <f>Data_Feed!E9</f>
        <v/>
      </c>
      <c r="G12" s="11">
        <f>C12-D12</f>
        <v/>
      </c>
      <c r="H12" s="12">
        <f>(C12-D12)/D12</f>
        <v/>
      </c>
      <c r="I12" s="11">
        <f>F12-C12</f>
        <v/>
      </c>
      <c r="J12" s="11">
        <f>C12-D12</f>
        <v/>
      </c>
      <c r="K12" s="11">
        <f>Config_SL!B9</f>
        <v/>
      </c>
      <c r="L12" s="11" t="inlineStr">
        <is>
          <t>EMA/MACD動能複合共振中</t>
        </is>
      </c>
      <c r="M12" s="11">
        <f>Data_Feed!F9</f>
        <v/>
      </c>
      <c r="N12" s="11">
        <f>IF(I12&lt;=K12,"【高位警戒】觸及 SL 風控防線","【安全運行】空間充足")</f>
        <v/>
      </c>
    </row>
    <row r="13">
      <c r="A13" s="11">
        <f>Data_Feed!A10</f>
        <v/>
      </c>
      <c r="B13" s="11">
        <f>Config_SL!C10</f>
        <v/>
      </c>
      <c r="C13" s="11">
        <f>Data_Feed!B10</f>
        <v/>
      </c>
      <c r="D13" s="11">
        <f>Data_Feed!C10</f>
        <v/>
      </c>
      <c r="E13" s="11">
        <f>Data_Feed!D10</f>
        <v/>
      </c>
      <c r="F13" s="11">
        <f>Data_Feed!E10</f>
        <v/>
      </c>
      <c r="G13" s="11">
        <f>C13-D13</f>
        <v/>
      </c>
      <c r="H13" s="12">
        <f>(C13-D13)/D13</f>
        <v/>
      </c>
      <c r="I13" s="11">
        <f>F13-C13</f>
        <v/>
      </c>
      <c r="J13" s="11">
        <f>C13-D13</f>
        <v/>
      </c>
      <c r="K13" s="11">
        <f>Config_SL!B10</f>
        <v/>
      </c>
      <c r="L13" s="11" t="inlineStr">
        <is>
          <t>EMA/MACD動能複合共振中</t>
        </is>
      </c>
      <c r="M13" s="11">
        <f>Data_Feed!F10</f>
        <v/>
      </c>
      <c r="N13" s="11">
        <f>IF(I13&lt;=K13,"【高位警戒】觸及 SL 風控防線","【安全運行】空間充足")</f>
        <v/>
      </c>
    </row>
    <row r="14">
      <c r="A14" s="11">
        <f>Data_Feed!A11</f>
        <v/>
      </c>
      <c r="B14" s="11">
        <f>Config_SL!C11</f>
        <v/>
      </c>
      <c r="C14" s="11">
        <f>Data_Feed!B11</f>
        <v/>
      </c>
      <c r="D14" s="11">
        <f>Data_Feed!C11</f>
        <v/>
      </c>
      <c r="E14" s="11">
        <f>Data_Feed!D11</f>
        <v/>
      </c>
      <c r="F14" s="11">
        <f>Data_Feed!E11</f>
        <v/>
      </c>
      <c r="G14" s="11">
        <f>C14-D14</f>
        <v/>
      </c>
      <c r="H14" s="12">
        <f>(C14-D14)/D14</f>
        <v/>
      </c>
      <c r="I14" s="11">
        <f>F14-C14</f>
        <v/>
      </c>
      <c r="J14" s="11">
        <f>C14-D14</f>
        <v/>
      </c>
      <c r="K14" s="11">
        <f>Config_SL!B11</f>
        <v/>
      </c>
      <c r="L14" s="11" t="inlineStr">
        <is>
          <t>EMA/MACD動能複合共振中</t>
        </is>
      </c>
      <c r="M14" s="11">
        <f>Data_Feed!F11</f>
        <v/>
      </c>
      <c r="N14" s="11">
        <f>IF(I14&lt;=K14,"【高位警戒】觸及 SL 風控防線","【安全運行】空間充足")</f>
        <v/>
      </c>
    </row>
    <row r="15">
      <c r="A15" s="11">
        <f>Data_Feed!A12</f>
        <v/>
      </c>
      <c r="B15" s="11">
        <f>Config_SL!C12</f>
        <v/>
      </c>
      <c r="C15" s="11">
        <f>Data_Feed!B12</f>
        <v/>
      </c>
      <c r="D15" s="11">
        <f>Data_Feed!C12</f>
        <v/>
      </c>
      <c r="E15" s="11">
        <f>Data_Feed!D12</f>
        <v/>
      </c>
      <c r="F15" s="11">
        <f>Data_Feed!E12</f>
        <v/>
      </c>
      <c r="G15" s="11">
        <f>C15-D15</f>
        <v/>
      </c>
      <c r="H15" s="12">
        <f>(C15-D15)/D15</f>
        <v/>
      </c>
      <c r="I15" s="11">
        <f>F15-C15</f>
        <v/>
      </c>
      <c r="J15" s="11">
        <f>C15-D15</f>
        <v/>
      </c>
      <c r="K15" s="11">
        <f>Config_SL!B12</f>
        <v/>
      </c>
      <c r="L15" s="11" t="inlineStr">
        <is>
          <t>EMA/MACD動能複合共振中</t>
        </is>
      </c>
      <c r="M15" s="11">
        <f>Data_Feed!F12</f>
        <v/>
      </c>
      <c r="N15" s="11">
        <f>IF(I15&lt;=K15,"【高位警戒】觸及 SL 風控防線","【安全運行】空間充足")</f>
        <v/>
      </c>
    </row>
    <row r="16">
      <c r="A16" s="11">
        <f>Data_Feed!A13</f>
        <v/>
      </c>
      <c r="B16" s="11">
        <f>Config_SL!C13</f>
        <v/>
      </c>
      <c r="C16" s="11">
        <f>Data_Feed!B13</f>
        <v/>
      </c>
      <c r="D16" s="11">
        <f>Data_Feed!C13</f>
        <v/>
      </c>
      <c r="E16" s="11">
        <f>Data_Feed!D13</f>
        <v/>
      </c>
      <c r="F16" s="11">
        <f>Data_Feed!E13</f>
        <v/>
      </c>
      <c r="G16" s="11">
        <f>C16-D16</f>
        <v/>
      </c>
      <c r="H16" s="12">
        <f>(C16-D16)/D16</f>
        <v/>
      </c>
      <c r="I16" s="11">
        <f>F16-C16</f>
        <v/>
      </c>
      <c r="J16" s="11">
        <f>C16-D16</f>
        <v/>
      </c>
      <c r="K16" s="11">
        <f>Config_SL!B13</f>
        <v/>
      </c>
      <c r="L16" s="11" t="inlineStr">
        <is>
          <t>EMA/MACD動能複合共振中</t>
        </is>
      </c>
      <c r="M16" s="11">
        <f>Data_Feed!F13</f>
        <v/>
      </c>
      <c r="N16" s="11">
        <f>IF(I16&lt;=K16,"【高位警戒】觸及 SL 風控防線","【安全運行】空間充足")</f>
        <v/>
      </c>
    </row>
  </sheetData>
  <mergeCells count="1">
    <mergeCell ref="A1:N1"/>
  </mergeCell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C13"/>
  <sheetViews>
    <sheetView workbookViewId="0">
      <selection activeCell="A1" sqref="A1"/>
    </sheetView>
  </sheetViews>
  <sheetFormatPr baseColWidth="8" defaultRowHeight="15"/>
  <cols>
    <col width="11.42578125" customWidth="1" min="1" max="1"/>
    <col width="31" customWidth="1" min="2" max="2"/>
    <col width="10.28515625" customWidth="1" min="3" max="3"/>
  </cols>
  <sheetData>
    <row r="1">
      <c r="A1" t="inlineStr">
        <is>
          <t>商品代碼</t>
        </is>
      </c>
      <c r="B1" t="inlineStr">
        <is>
          <t>個人化 SL 設定值 (價格點數)</t>
        </is>
      </c>
      <c r="C1" t="inlineStr">
        <is>
          <t>商品類別</t>
        </is>
      </c>
    </row>
    <row r="2">
      <c r="A2" t="inlineStr">
        <is>
          <t>EURUSD</t>
        </is>
      </c>
      <c r="B2" t="n">
        <v>0.0095</v>
      </c>
      <c r="C2" t="inlineStr">
        <is>
          <t>外匯</t>
        </is>
      </c>
    </row>
    <row r="3">
      <c r="A3" t="inlineStr">
        <is>
          <t>GBPUSD</t>
        </is>
      </c>
      <c r="B3" t="n">
        <v>0.012</v>
      </c>
      <c r="C3" t="inlineStr">
        <is>
          <t>外匯</t>
        </is>
      </c>
    </row>
    <row r="4">
      <c r="A4" t="inlineStr">
        <is>
          <t>AUDUSD</t>
        </is>
      </c>
      <c r="B4" t="n">
        <v>0.008</v>
      </c>
      <c r="C4" t="inlineStr">
        <is>
          <t>外匯</t>
        </is>
      </c>
    </row>
    <row r="5">
      <c r="A5" t="inlineStr">
        <is>
          <t>NZDUSD</t>
        </is>
      </c>
      <c r="B5" t="n">
        <v>0.0075</v>
      </c>
      <c r="C5" t="inlineStr">
        <is>
          <t>外匯</t>
        </is>
      </c>
    </row>
    <row r="6">
      <c r="A6" t="inlineStr">
        <is>
          <t>USDCAD</t>
        </is>
      </c>
      <c r="B6" t="n">
        <v>0.008500000000000001</v>
      </c>
      <c r="C6" t="inlineStr">
        <is>
          <t>外匯</t>
        </is>
      </c>
    </row>
    <row r="7">
      <c r="A7" t="inlineStr">
        <is>
          <t>USDJPY</t>
        </is>
      </c>
      <c r="B7" t="n">
        <v>1.1</v>
      </c>
      <c r="C7" t="inlineStr">
        <is>
          <t>外匯</t>
        </is>
      </c>
    </row>
    <row r="8">
      <c r="A8" t="inlineStr">
        <is>
          <t>USDCHF</t>
        </is>
      </c>
      <c r="B8" t="n">
        <v>0.01</v>
      </c>
      <c r="C8" t="inlineStr">
        <is>
          <t>外匯</t>
        </is>
      </c>
    </row>
    <row r="9">
      <c r="A9" t="inlineStr">
        <is>
          <t>USDCNH</t>
        </is>
      </c>
      <c r="B9" t="n">
        <v>0.01</v>
      </c>
      <c r="C9" t="inlineStr">
        <is>
          <t>外匯</t>
        </is>
      </c>
    </row>
    <row r="10">
      <c r="A10" t="inlineStr">
        <is>
          <t>US500.cash</t>
        </is>
      </c>
      <c r="B10" t="n">
        <v>30</v>
      </c>
      <c r="C10" t="inlineStr">
        <is>
          <t>股指</t>
        </is>
      </c>
    </row>
    <row r="11">
      <c r="A11" t="inlineStr">
        <is>
          <t>US30.cash</t>
        </is>
      </c>
      <c r="B11" t="n">
        <v>200</v>
      </c>
      <c r="C11" t="inlineStr">
        <is>
          <t>股指</t>
        </is>
      </c>
    </row>
    <row r="12">
      <c r="A12" t="inlineStr">
        <is>
          <t>US100.cash</t>
        </is>
      </c>
      <c r="B12" t="n">
        <v>100</v>
      </c>
      <c r="C12" t="inlineStr">
        <is>
          <t>股指</t>
        </is>
      </c>
    </row>
    <row r="13">
      <c r="A13" t="inlineStr">
        <is>
          <t>JP225.cash</t>
        </is>
      </c>
      <c r="B13" t="n">
        <v>200</v>
      </c>
      <c r="C13" t="inlineStr">
        <is>
          <t>股指</t>
        </is>
      </c>
    </row>
  </sheetData>
  <pageMargins left="0.75" right="0.75" top="1" bottom="1" header="0.5" footer="0.5"/>
</worksheet>
</file>

<file path=xl/worksheets/sheet4.xml><?xml version="1.0" encoding="utf-8"?>
<worksheet xmlns="http://schemas.openxmlformats.org/spreadsheetml/2006/main">
  <sheetPr>
    <outlinePr summaryBelow="1" summaryRight="1"/>
    <pageSetUpPr/>
  </sheetPr>
  <dimension ref="A1:F13"/>
  <sheetViews>
    <sheetView workbookViewId="0">
      <selection activeCell="A1" sqref="A1"/>
    </sheetView>
  </sheetViews>
  <sheetFormatPr baseColWidth="8" defaultRowHeight="15"/>
  <cols>
    <col width="11.42578125" customWidth="1" min="1" max="1"/>
    <col width="11.140625" customWidth="1" min="2" max="2"/>
    <col width="17.7109375" customWidth="1" min="3" max="3"/>
    <col width="15.7109375" customWidth="1" min="4" max="4"/>
    <col width="17.7109375" customWidth="1" min="5" max="5"/>
    <col width="46" customWidth="1" min="6" max="6"/>
  </cols>
  <sheetData>
    <row r="1">
      <c r="A1" t="inlineStr">
        <is>
          <t>商品</t>
        </is>
      </c>
      <c r="B1" t="inlineStr">
        <is>
          <t>即時Bid價</t>
        </is>
      </c>
      <c r="C1" t="inlineStr">
        <is>
          <t>有效昨收 (09/10)</t>
        </is>
      </c>
      <c r="D1" t="inlineStr">
        <is>
          <t>歐盤中軸/Pivot</t>
        </is>
      </c>
      <c r="E1" t="inlineStr">
        <is>
          <t>有效昨高 (09/10)</t>
        </is>
      </c>
      <c r="F1" t="inlineStr">
        <is>
          <t>三盤與指標複合共振分析</t>
        </is>
      </c>
    </row>
    <row r="2">
      <c r="A2" t="inlineStr">
        <is>
          <t>EURUSD</t>
        </is>
      </c>
      <c r="B2" t="n">
        <v>1.15946</v>
      </c>
      <c r="C2" t="n">
        <v>1.158</v>
      </c>
      <c r="D2" t="n">
        <v>1.16</v>
      </c>
      <c r="E2" t="n">
        <v>1.1625</v>
      </c>
      <c r="F2">
        <f>IF(B2&gt;=E2,"[突破確認] 實體突破昨高 - 順勢追多",IF(B2&lt;=C2,"[跌破確認] 實體貫穿昨收 - 順勢追空",IF(B2&gt;=E2*0.998,"[極限反轉警戒] 逼近昨高壓力區 - 嚴禁追高",IF(B2&lt;=C2*1.002,"[極限反轉警戒] 逼近昨收支撐區 - 準備反轉","[區間震盪共振] 距昨高 "&amp;TEXT(E2-B2,"0.0000")&amp;" 點"))))</f>
        <v/>
      </c>
    </row>
    <row r="3">
      <c r="A3" t="inlineStr">
        <is>
          <t>GBPUSD</t>
        </is>
      </c>
      <c r="B3" t="n">
        <v>1.3185</v>
      </c>
      <c r="C3" t="n">
        <v>1.315</v>
      </c>
      <c r="D3" t="n">
        <v>1.3175</v>
      </c>
      <c r="E3" t="n">
        <v>1.321</v>
      </c>
      <c r="F3">
        <f>IF(B3&gt;=E3,"[突破確認] 實體突破昨高 - 順勢追多",IF(B3&lt;=C3,"[跌破確認] 實體貫穿昨收 - 順勢追空",IF(B3&gt;=E3*0.998,"[極限反轉警戒] 逼近昨高壓力區 - 嚴禁追高",IF(B3&lt;=C3*1.002,"[極限反轉警戒] 逼近昨收支撐區 - 準備反轉","[區間震盪共振] 距昨高 "&amp;TEXT(E3-B3,"0.0000")&amp;" 點"))))</f>
        <v/>
      </c>
    </row>
    <row r="4">
      <c r="A4" t="inlineStr">
        <is>
          <t>AUDUSD</t>
        </is>
      </c>
      <c r="B4" t="n">
        <v>0.71432</v>
      </c>
      <c r="C4" t="n">
        <v>0.7135</v>
      </c>
      <c r="D4" t="n">
        <v>0.715</v>
      </c>
      <c r="E4" t="n">
        <v>0.7175</v>
      </c>
      <c r="F4">
        <f>IF(B4&gt;=E4,"[突破確認] 實體突破昨高 - 順勢追多",IF(B4&lt;=C4,"[跌破確認] 實體貫穿昨收 - 順勢追空",IF(B4&gt;=E4*0.998,"[極限反轉警戒] 逼近昨高壓力區 - 嚴禁追高",IF(B4&lt;=C4*1.002,"[極限反轉警戒] 逼近昨收支撐區 - 準備反轉","[區間震盪共振] 距昨高 "&amp;TEXT(E4-B4,"0.0000")&amp;" 點"))))</f>
        <v/>
      </c>
    </row>
    <row r="5">
      <c r="A5" t="inlineStr">
        <is>
          <t>NZDUSD</t>
        </is>
      </c>
      <c r="B5" t="n">
        <v>0.6215000000000001</v>
      </c>
      <c r="C5" t="n">
        <v>0.619</v>
      </c>
      <c r="D5" t="n">
        <v>0.621</v>
      </c>
      <c r="E5" t="n">
        <v>0.624</v>
      </c>
      <c r="F5">
        <f>IF(B5&gt;=E5,"[突破確認] 實體突破昨高 - 順勢追多",IF(B5&lt;=C5,"[跌破確認] 實體貫穿昨收 - 順勢追空",IF(B5&gt;=E5*0.998,"[極限反轉警戒] 逼近昨高壓力區 - 嚴禁追高",IF(B5&lt;=C5*1.002,"[極限反轉警戒] 逼近昨收支撐區 - 準備反轉","[區間震盪共振] 距昨高 "&amp;TEXT(E5-B5,"0.0000")&amp;" 點"))))</f>
        <v/>
      </c>
    </row>
    <row r="6">
      <c r="A6" t="inlineStr">
        <is>
          <t>USDCAD</t>
        </is>
      </c>
      <c r="B6" t="n">
        <v>1.3525</v>
      </c>
      <c r="C6" t="n">
        <v>1.35</v>
      </c>
      <c r="D6" t="n">
        <v>1.352</v>
      </c>
      <c r="E6" t="n">
        <v>1.355</v>
      </c>
      <c r="F6">
        <f>IF(B6&gt;=E6,"[突破確認] 實體突破昨高 - 順勢追多",IF(B6&lt;=C6,"[跌破確認] 實體貫穿昨收 - 順勢追空",IF(B6&gt;=E6*0.998,"[極限反轉警戒] 逼近昨高壓力區 - 嚴禁追高",IF(B6&lt;=C6*1.002,"[極限反轉警戒] 逼近昨收支撐區 - 準備反轉","[區間震盪共振] 距昨高 "&amp;TEXT(E6-B6,"0.0000")&amp;" 點"))))</f>
        <v/>
      </c>
    </row>
    <row r="7">
      <c r="A7" t="inlineStr">
        <is>
          <t>USDJPY</t>
        </is>
      </c>
      <c r="B7" t="n">
        <v>159.85</v>
      </c>
      <c r="C7" t="n">
        <v>159.2</v>
      </c>
      <c r="D7" t="n">
        <v>159.6</v>
      </c>
      <c r="E7" t="n">
        <v>160.1</v>
      </c>
      <c r="F7">
        <f>IF(B7&gt;=E7,"[突破確認] 實體突破昨高 - 順勢追多",IF(B7&lt;=C7,"[跌破確認] 實體貫穿昨收 - 順勢追空",IF(B7&gt;=E7*0.998,"[極限反轉警戒] 逼近昨高壓力區 - 嚴禁追高",IF(B7&lt;=C7*1.002,"[極限反轉警戒] 逼近昨收支撐區 - 準備反轉","[區間震盪共振] 距昨高 "&amp;TEXT(E7-B7,"0.0000")&amp;" 點"))))</f>
        <v/>
      </c>
    </row>
    <row r="8">
      <c r="A8" t="inlineStr">
        <is>
          <t>USDCHF</t>
        </is>
      </c>
      <c r="B8" t="n">
        <v>0.80987</v>
      </c>
      <c r="C8" t="n">
        <v>0.805</v>
      </c>
      <c r="D8" t="n">
        <v>0.8075</v>
      </c>
      <c r="E8" t="n">
        <v>0.8105</v>
      </c>
      <c r="F8">
        <f>IF(B8&gt;=E8,"[突破確認] 實體突破昨高 - 順勢追多",IF(B8&lt;=C8,"[跌破確認] 實體貫穿昨收 - 順勢追空",IF(B8&gt;=E8*0.998,"[極限反轉警戒] 逼近昨高壓力區 - 嚴禁追高",IF(B8&lt;=C8*1.002,"[極限反轉警戒] 逼近昨收支撐區 - 準備反轉","[區間震盪共振] 距昨高 "&amp;TEXT(E8-B8,"0.0000")&amp;" 點"))))</f>
        <v/>
      </c>
    </row>
    <row r="9">
      <c r="A9" t="inlineStr">
        <is>
          <t>USDCNH</t>
        </is>
      </c>
      <c r="B9" t="n">
        <v>7.185</v>
      </c>
      <c r="C9" t="n">
        <v>7.175</v>
      </c>
      <c r="D9" t="n">
        <v>7.18</v>
      </c>
      <c r="E9" t="n">
        <v>7.19</v>
      </c>
      <c r="F9">
        <f>IF(B9&gt;=E9,"[突破確認] 實體突破昨高 - 順勢追多",IF(B9&lt;=C9,"[跌破確認] 實體貫穿昨收 - 順勢追空",IF(B9&gt;=E9*0.998,"[極限反轉警戒] 逼近昨高壓力區 - 嚴禁追高",IF(B9&lt;=C9*1.002,"[極限反轉警戒] 逼近昨收支撐區 - 準備反轉","[區間震盪共振] 距昨高 "&amp;TEXT(E9-B9,"0.0000")&amp;" 點"))))</f>
        <v/>
      </c>
    </row>
    <row r="10">
      <c r="A10" t="inlineStr">
        <is>
          <t>US500.cash</t>
        </is>
      </c>
      <c r="B10" t="n">
        <v>5645.2</v>
      </c>
      <c r="C10" t="n">
        <v>5620</v>
      </c>
      <c r="D10" t="n">
        <v>5635</v>
      </c>
      <c r="E10" t="n">
        <v>5660</v>
      </c>
      <c r="F10">
        <f>IF(B10&gt;=E10,"[突破確認] 實體突破昨高 - 順勢追多",IF(B10&lt;=C10,"[跌破確認] 實體貫穿昨收 - 順勢追空",IF(B10&gt;=E10*0.998,"[極限反轉警戒] 逼近昨高壓力區 - 嚴禁追高",IF(B10&lt;=C10*1.002,"[極限反轉警戒] 逼近昨收支撐區 - 準備反轉","[區間震盪共振] 距昨高 "&amp;TEXT(E10-B10,"0.0000")&amp;" 點"))))</f>
        <v/>
      </c>
    </row>
    <row r="11">
      <c r="A11" t="inlineStr">
        <is>
          <t>US30.cash</t>
        </is>
      </c>
      <c r="B11" t="n">
        <v>40890</v>
      </c>
      <c r="C11" t="n">
        <v>40750</v>
      </c>
      <c r="D11" t="n">
        <v>40820</v>
      </c>
      <c r="E11" t="n">
        <v>40950</v>
      </c>
      <c r="F11">
        <f>IF(B11&gt;=E11,"[突破確認] 實體突破昨高 - 順勢追多",IF(B11&lt;=C11,"[跌破確認] 實體貫穿昨收 - 順勢追空",IF(B11&gt;=E11*0.998,"[極限反轉警戒] 逼近昨高壓力區 - 嚴禁追高",IF(B11&lt;=C11*1.002,"[極限反轉警戒] 逼近昨收支撐區 - 準備反轉","[區間震盪共振] 距昨高 "&amp;TEXT(E11-B11,"0.0000")&amp;" 點"))))</f>
        <v/>
      </c>
    </row>
    <row r="12">
      <c r="A12" t="inlineStr">
        <is>
          <t>US100.cash</t>
        </is>
      </c>
      <c r="B12" t="n">
        <v>19860.5</v>
      </c>
      <c r="C12" t="n">
        <v>19700</v>
      </c>
      <c r="D12" t="n">
        <v>19800</v>
      </c>
      <c r="E12" t="n">
        <v>19900</v>
      </c>
      <c r="F12">
        <f>IF(B12&gt;=E12,"[突破確認] 實體突破昨高 - 順勢追多",IF(B12&lt;=C12,"[跌破確認] 實體貫穿昨收 - 順勢追空",IF(B12&gt;=E12*0.998,"[極限反轉警戒] 逼近昨高壓力區 - 嚴禁追高",IF(B12&lt;=C12*1.002,"[極限反轉警戒] 逼近昨收支撐區 - 準備反轉","[區間震盪共振] 距昨高 "&amp;TEXT(E12-B12,"0.0000")&amp;" 點"))))</f>
        <v/>
      </c>
    </row>
    <row r="13">
      <c r="A13" t="inlineStr">
        <is>
          <t>JP225.cash</t>
        </is>
      </c>
      <c r="B13" t="n">
        <v>38450</v>
      </c>
      <c r="C13" t="n">
        <v>38100</v>
      </c>
      <c r="D13" t="n">
        <v>38300</v>
      </c>
      <c r="E13" t="n">
        <v>38600</v>
      </c>
      <c r="F13">
        <f>IF(B13&gt;=E13,"[突破確認] 實體突破昨高 - 順勢追多",IF(B13&lt;=C13,"[跌破確認] 實體貫穿昨收 - 順勢追空",IF(B13&gt;=E13*0.998,"[極限反轉警戒] 逼近昨高壓力區 - 嚴禁追高",IF(B13&lt;=C13*1.002,"[極限反轉警戒] 逼近昨收支撐區 - 準備反轉","[區間震盪共振] 距昨高 "&amp;TEXT(E13-B13,"0.0000")&amp;" 點"))))</f>
        <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AP17"/>
  <sheetViews>
    <sheetView workbookViewId="0">
      <pane ySplit="5" topLeftCell="A6" activePane="bottomLeft" state="frozen"/>
      <selection pane="bottomLeft" activeCell="A1" sqref="A1"/>
    </sheetView>
  </sheetViews>
  <sheetFormatPr baseColWidth="8" defaultRowHeight="15"/>
  <cols>
    <col width="12" customWidth="1" min="1" max="1"/>
    <col width="12"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2" customWidth="1" min="15" max="15"/>
    <col width="12" customWidth="1" min="16" max="16"/>
    <col width="12" customWidth="1" min="17" max="17"/>
    <col width="12" customWidth="1" min="18" max="18"/>
    <col width="12" customWidth="1" min="19" max="19"/>
    <col width="12" customWidth="1" min="20" max="20"/>
    <col width="12" customWidth="1" min="21" max="21"/>
    <col width="12" customWidth="1" min="22" max="22"/>
    <col width="12" customWidth="1" min="23" max="23"/>
    <col width="12" customWidth="1" min="24" max="24"/>
    <col width="12" customWidth="1" min="25" max="25"/>
    <col width="12" customWidth="1" min="26" max="26"/>
    <col width="12" customWidth="1" min="27" max="27"/>
    <col width="12" customWidth="1" min="28" max="28"/>
    <col width="12" customWidth="1" min="29" max="29"/>
    <col width="12" customWidth="1" min="30" max="30"/>
    <col width="12" customWidth="1" min="31" max="31"/>
    <col width="12" customWidth="1" min="32" max="32"/>
    <col width="12" customWidth="1" min="33" max="33"/>
    <col width="12" customWidth="1" min="34" max="34"/>
    <col width="12" customWidth="1" min="35" max="35"/>
    <col width="12" customWidth="1" min="36" max="36"/>
    <col width="12" customWidth="1" min="37" max="37"/>
    <col width="12" customWidth="1" min="38" max="38"/>
    <col width="12" customWidth="1" min="39" max="39"/>
    <col width="12" customWidth="1" min="40" max="40"/>
    <col width="12" customWidth="1" min="41" max="41"/>
    <col width="12" customWidth="1" min="42" max="42"/>
  </cols>
  <sheetData>
    <row r="1" ht="22" customHeight="1">
      <c r="A1" s="44" t="inlineStr">
        <is>
          <t>8 大商品 MT5 即時交易分析與極限防線監控</t>
        </is>
      </c>
    </row>
    <row r="2">
      <c r="A2" s="45" t="inlineStr">
        <is>
          <t>支撐壓力＋均線趨勢＋成交量三大核心判斷</t>
        </is>
      </c>
    </row>
    <row r="3">
      <c r="A3" s="45" t="inlineStr">
        <is>
          <t>最後更新時間：2026.09.13 00:12:06</t>
        </is>
      </c>
    </row>
    <row r="4" ht="18" customHeight="1">
      <c r="A4" s="46" t="inlineStr"/>
      <c r="B4" s="73" t="n"/>
      <c r="C4" s="48" t="inlineStr">
        <is>
          <t>支撐壓力</t>
        </is>
      </c>
      <c r="D4" s="74" t="n"/>
      <c r="E4" s="74" t="n"/>
      <c r="F4" s="73" t="n"/>
      <c r="G4" s="50" t="inlineStr">
        <is>
          <t>亞/歐/美盤高低</t>
        </is>
      </c>
      <c r="H4" s="74" t="n"/>
      <c r="I4" s="74" t="n"/>
      <c r="J4" s="74" t="n"/>
      <c r="K4" s="74" t="n"/>
      <c r="L4" s="73" t="n"/>
      <c r="M4" s="52" t="inlineStr">
        <is>
          <t>量能與突破確認</t>
        </is>
      </c>
      <c r="N4" s="46" t="inlineStr"/>
      <c r="O4" s="74" t="n"/>
      <c r="P4" s="74" t="n"/>
      <c r="Q4" s="74" t="n"/>
      <c r="R4" s="74" t="n"/>
      <c r="S4" s="74" t="n"/>
      <c r="T4" s="74" t="n"/>
      <c r="U4" s="74" t="n"/>
      <c r="V4" s="74" t="n"/>
      <c r="W4" s="74" t="n"/>
      <c r="X4" s="74" t="n"/>
      <c r="Y4" s="74" t="n"/>
      <c r="Z4" s="74" t="n"/>
      <c r="AA4" s="74" t="n"/>
      <c r="AB4" s="74" t="n"/>
      <c r="AC4" s="74" t="n"/>
      <c r="AD4" s="74" t="n"/>
      <c r="AE4" s="74" t="n"/>
      <c r="AF4" s="74" t="n"/>
      <c r="AG4" s="74" t="n"/>
      <c r="AH4" s="74" t="n"/>
      <c r="AI4" s="74" t="n"/>
      <c r="AJ4" s="74" t="n"/>
      <c r="AK4" s="74" t="n"/>
      <c r="AL4" s="74" t="n"/>
      <c r="AM4" s="74" t="n"/>
      <c r="AN4" s="74" t="n"/>
      <c r="AO4" s="74" t="n"/>
      <c r="AP4" s="73" t="n"/>
    </row>
    <row r="5" ht="26" customHeight="1">
      <c r="A5" s="53" t="inlineStr">
        <is>
          <t>商品</t>
        </is>
      </c>
      <c r="B5" s="53" t="inlineStr">
        <is>
          <t>即時 Bid</t>
        </is>
      </c>
      <c r="C5" s="54" t="inlineStr">
        <is>
          <t>週支撐</t>
        </is>
      </c>
      <c r="D5" s="54" t="inlineStr">
        <is>
          <t>週壓力</t>
        </is>
      </c>
      <c r="E5" s="54" t="inlineStr">
        <is>
          <t>近支撐</t>
        </is>
      </c>
      <c r="F5" s="54" t="inlineStr">
        <is>
          <t>近壓力</t>
        </is>
      </c>
      <c r="G5" s="55" t="inlineStr">
        <is>
          <t>亞盤低</t>
        </is>
      </c>
      <c r="H5" s="55" t="inlineStr">
        <is>
          <t>亞盤高</t>
        </is>
      </c>
      <c r="I5" s="55" t="inlineStr">
        <is>
          <t>歐盤低</t>
        </is>
      </c>
      <c r="J5" s="55" t="inlineStr">
        <is>
          <t>歐盤高</t>
        </is>
      </c>
      <c r="K5" s="55" t="inlineStr">
        <is>
          <t>美盤低</t>
        </is>
      </c>
      <c r="L5" s="55" t="inlineStr">
        <is>
          <t>美盤高</t>
        </is>
      </c>
      <c r="M5" s="56" t="inlineStr">
        <is>
          <t>量能確認突破</t>
        </is>
      </c>
      <c r="N5" s="53" t="inlineStr">
        <is>
          <t>短MA</t>
        </is>
      </c>
      <c r="O5" s="53" t="inlineStr">
        <is>
          <t>長MA</t>
        </is>
      </c>
      <c r="P5" s="53" t="inlineStr">
        <is>
          <t>EMA</t>
        </is>
      </c>
      <c r="Q5" s="53" t="inlineStr">
        <is>
          <t>短MA斜率%</t>
        </is>
      </c>
      <c r="R5" s="53" t="inlineStr">
        <is>
          <t>長MA斜率%</t>
        </is>
      </c>
      <c r="S5" s="53" t="inlineStr">
        <is>
          <t>EMA斜率%</t>
        </is>
      </c>
      <c r="T5" s="53" t="inlineStr">
        <is>
          <t>均線排列</t>
        </is>
      </c>
      <c r="U5" s="53" t="inlineStr">
        <is>
          <t>交叉狀態</t>
        </is>
      </c>
      <c r="V5" s="53" t="inlineStr">
        <is>
          <t>趨勢分數</t>
        </is>
      </c>
      <c r="W5" s="53" t="inlineStr">
        <is>
          <t>趨勢判定</t>
        </is>
      </c>
      <c r="X5" s="53" t="inlineStr">
        <is>
          <t>個人化SL(ATR)</t>
        </is>
      </c>
      <c r="Y5" s="53" t="inlineStr">
        <is>
          <t>目前量</t>
        </is>
      </c>
      <c r="Z5" s="53" t="inlineStr">
        <is>
          <t>平均量</t>
        </is>
      </c>
      <c r="AA5" s="53" t="inlineStr">
        <is>
          <t>量能狀態</t>
        </is>
      </c>
      <c r="AB5" s="53" t="inlineStr">
        <is>
          <t>最終訊號</t>
        </is>
      </c>
      <c r="AC5" s="53" t="inlineStr">
        <is>
          <t>M15多頭票</t>
        </is>
      </c>
      <c r="AD5" s="53" t="inlineStr">
        <is>
          <t>M15空頭票</t>
        </is>
      </c>
      <c r="AE5" s="53" t="inlineStr">
        <is>
          <t>M15共振狀態</t>
        </is>
      </c>
      <c r="AF5" s="53" t="inlineStr">
        <is>
          <t>H1多頭票</t>
        </is>
      </c>
      <c r="AG5" s="53" t="inlineStr">
        <is>
          <t>H1空頭票</t>
        </is>
      </c>
      <c r="AH5" s="53" t="inlineStr">
        <is>
          <t>H1共振狀態</t>
        </is>
      </c>
      <c r="AI5" s="53" t="inlineStr">
        <is>
          <t>K棒型態</t>
        </is>
      </c>
      <c r="AJ5" s="53" t="inlineStr">
        <is>
          <t>進場建議</t>
        </is>
      </c>
      <c r="AK5" s="53" t="inlineStr">
        <is>
          <t>11指標綜合分數</t>
        </is>
      </c>
      <c r="AL5" s="53" t="inlineStr">
        <is>
          <t>11指標綜合判定</t>
        </is>
      </c>
      <c r="AM5" s="53" t="inlineStr">
        <is>
          <t>更新時間</t>
        </is>
      </c>
      <c r="AN5" s="53" t="inlineStr">
        <is>
          <t>今日漲跌%</t>
        </is>
      </c>
      <c r="AO5" s="53" t="inlineStr">
        <is>
          <t>關鍵位測試</t>
        </is>
      </c>
      <c r="AP5" s="53" t="inlineStr">
        <is>
          <t>突破判斷</t>
        </is>
      </c>
    </row>
    <row r="6">
      <c r="A6" s="57" t="inlineStr">
        <is>
          <t>EURUSD</t>
        </is>
      </c>
      <c r="B6" s="57" t="n">
        <v>1.15972</v>
      </c>
      <c r="C6" s="57" t="n">
        <v>1.15663</v>
      </c>
      <c r="D6" s="57" t="n">
        <v>1.16412</v>
      </c>
      <c r="E6" s="57" t="n">
        <v>1.15692</v>
      </c>
      <c r="F6" s="57" t="n">
        <v>1.16175</v>
      </c>
      <c r="G6" s="57">
        <f>'Data_v9最新'!D2</f>
        <v/>
      </c>
      <c r="H6" s="57">
        <f>'Data_v9最新'!E2</f>
        <v/>
      </c>
      <c r="I6" s="57">
        <f>'Data_v9最新'!F2</f>
        <v/>
      </c>
      <c r="J6" s="57">
        <f>'Data_v9最新'!G2</f>
        <v/>
      </c>
      <c r="K6" s="57">
        <f>'Data_v9最新'!H2</f>
        <v/>
      </c>
      <c r="L6" s="57">
        <f>'Data_v9最新'!I2</f>
        <v/>
      </c>
      <c r="M6" s="57">
        <f>IF(OR($B6="",$AA6=""),"",IF(AND($B6&gt;MAX($D6,$F6,$H6,$J6,$L6),$AA6="放量"),"🔺確認向上突破(放量)",IF($B6&gt;MAX($D6,$F6,$H6,$J6,$L6),"⚠疑似假突破(量縮)",IF(AND($B6&lt;MIN($C6,$E6,$G6,$I6,$K6),$AA6="放量"),"🔻確認向下突破(放量)",IF($B6&lt;MIN($C6,$E6,$G6,$I6,$K6),"⚠疑似假跌破(量縮)","區間整理")))))</f>
        <v/>
      </c>
      <c r="N6" s="57" t="n">
        <v>1.159396666666667</v>
      </c>
      <c r="O6" s="57" t="n">
        <v>1.15950619047619</v>
      </c>
      <c r="P6" s="57" t="n">
        <v>1.159491393857723</v>
      </c>
      <c r="Q6" s="57" t="n">
        <v>-0.002012500503119159</v>
      </c>
      <c r="R6" s="57" t="n">
        <v>4.106840268856943e-05</v>
      </c>
      <c r="S6" s="57" t="n">
        <v>0.001006368014849041</v>
      </c>
      <c r="T6" s="57" t="inlineStr">
        <is>
          <t>震盪糾結</t>
        </is>
      </c>
      <c r="U6" s="57" t="inlineStr">
        <is>
          <t>震盪糾結</t>
        </is>
      </c>
      <c r="V6" s="57" t="n">
        <v>0</v>
      </c>
      <c r="W6" s="57" t="inlineStr">
        <is>
          <t>多空不明</t>
        </is>
      </c>
      <c r="X6" s="57" t="n">
        <v>0.0002335714285714361</v>
      </c>
      <c r="Y6" s="57" t="n">
        <v>188</v>
      </c>
      <c r="Z6" s="57" t="n">
        <v>113.3</v>
      </c>
      <c r="AA6" s="57" t="inlineStr">
        <is>
          <t>放量</t>
        </is>
      </c>
      <c r="AB6" s="57" t="inlineStr">
        <is>
          <t>震盪</t>
        </is>
      </c>
      <c r="AC6" s="57" t="n">
        <v>2</v>
      </c>
      <c r="AD6" s="57" t="n">
        <v>9</v>
      </c>
      <c r="AE6" s="57" t="inlineStr">
        <is>
          <t>偏空</t>
        </is>
      </c>
      <c r="AF6" s="57" t="n">
        <v>3</v>
      </c>
      <c r="AG6" s="57" t="n">
        <v>8</v>
      </c>
      <c r="AH6" s="57" t="inlineStr">
        <is>
          <t>偏空</t>
        </is>
      </c>
      <c r="AI6" s="57" t="inlineStr">
        <is>
          <t>無明顯型態</t>
        </is>
      </c>
      <c r="AJ6" s="57" t="inlineStr">
        <is>
          <t>觀望</t>
        </is>
      </c>
      <c r="AK6" s="57" t="n">
        <v>1.14</v>
      </c>
      <c r="AL6" s="57" t="inlineStr">
        <is>
          <t>強力多頭</t>
        </is>
      </c>
      <c r="AM6" s="57" t="inlineStr">
        <is>
          <t>2026.09.12 19:09:58</t>
        </is>
      </c>
      <c r="AN6" s="57" t="n">
        <v>-0.1093894004254888</v>
      </c>
      <c r="AO6" s="57" t="inlineStr">
        <is>
          <t>亞盤低</t>
        </is>
      </c>
      <c r="AP6" s="57" t="inlineStr">
        <is>
          <t>確認突破</t>
        </is>
      </c>
    </row>
    <row r="7">
      <c r="A7" s="57" t="inlineStr">
        <is>
          <t>GBPUSD</t>
        </is>
      </c>
      <c r="B7" s="57" t="n">
        <v>1.35267</v>
      </c>
      <c r="C7" s="57" t="n">
        <v>1.34743</v>
      </c>
      <c r="D7" s="57" t="n">
        <v>1.35653</v>
      </c>
      <c r="E7" s="57" t="n">
        <v>1.34761</v>
      </c>
      <c r="F7" s="57" t="n">
        <v>1.35347</v>
      </c>
      <c r="G7" s="57">
        <f>'Data_v9最新'!D3</f>
        <v/>
      </c>
      <c r="H7" s="57">
        <f>'Data_v9最新'!E3</f>
        <v/>
      </c>
      <c r="I7" s="57">
        <f>'Data_v9最新'!F3</f>
        <v/>
      </c>
      <c r="J7" s="57">
        <f>'Data_v9最新'!G3</f>
        <v/>
      </c>
      <c r="K7" s="57">
        <f>'Data_v9最新'!H3</f>
        <v/>
      </c>
      <c r="L7" s="57">
        <f>'Data_v9最新'!I3</f>
        <v/>
      </c>
      <c r="M7" s="57">
        <f>IF(OR($B7="",$AA7=""),"",IF(AND($B7&gt;MAX($D7,$F7,$H7,$J7,$L7),$AA7="放量"),"🔺確認向上突破(放量)",IF($B7&gt;MAX($D7,$F7,$H7,$J7,$L7),"⚠疑似假突破(量縮)",IF(AND($B7&lt;MIN($C7,$E7,$G7,$I7,$K7),$AA7="放量"),"🔻確認向下突破(放量)",IF($B7&lt;MIN($C7,$E7,$G7,$I7,$K7),"⚠疑似假跌破(量縮)","區間整理")))))</f>
        <v/>
      </c>
      <c r="N7" s="57" t="n">
        <v>1.352488888888889</v>
      </c>
      <c r="O7" s="57" t="n">
        <v>1.35255380952381</v>
      </c>
      <c r="P7" s="57" t="n">
        <v>1.352498821212661</v>
      </c>
      <c r="Q7" s="57" t="n">
        <v>-0.006571813491926903</v>
      </c>
      <c r="R7" s="57" t="n">
        <v>-0.0003168599042798628</v>
      </c>
      <c r="S7" s="57" t="n">
        <v>-0.0007053428774039869</v>
      </c>
      <c r="T7" s="57" t="inlineStr">
        <is>
          <t>震盪糾結</t>
        </is>
      </c>
      <c r="U7" s="57" t="inlineStr">
        <is>
          <t>死亡交叉</t>
        </is>
      </c>
      <c r="V7" s="57" t="n">
        <v>-4</v>
      </c>
      <c r="W7" s="57" t="inlineStr">
        <is>
          <t>強力空頭</t>
        </is>
      </c>
      <c r="X7" s="57" t="n">
        <v>0.0003064285714285329</v>
      </c>
      <c r="Y7" s="57" t="n">
        <v>212</v>
      </c>
      <c r="Z7" s="57" t="n">
        <v>240.9</v>
      </c>
      <c r="AA7" s="57" t="inlineStr">
        <is>
          <t>正常</t>
        </is>
      </c>
      <c r="AB7" s="57" t="inlineStr">
        <is>
          <t>強勢空</t>
        </is>
      </c>
      <c r="AC7" s="57" t="n">
        <v>5</v>
      </c>
      <c r="AD7" s="57" t="n">
        <v>6</v>
      </c>
      <c r="AE7" s="57" t="inlineStr">
        <is>
          <t>多空不明</t>
        </is>
      </c>
      <c r="AF7" s="57" t="n">
        <v>2</v>
      </c>
      <c r="AG7" s="57" t="n">
        <v>9</v>
      </c>
      <c r="AH7" s="57" t="inlineStr">
        <is>
          <t>偏空</t>
        </is>
      </c>
      <c r="AI7" s="57" t="inlineStr">
        <is>
          <t>十字星</t>
        </is>
      </c>
      <c r="AJ7" s="57" t="inlineStr">
        <is>
          <t>觀望</t>
        </is>
      </c>
      <c r="AK7" s="57" t="n">
        <v>0.48</v>
      </c>
      <c r="AL7" s="57" t="inlineStr">
        <is>
          <t>偏多</t>
        </is>
      </c>
      <c r="AM7" s="57" t="inlineStr">
        <is>
          <t>2026.09.12 19:09:58</t>
        </is>
      </c>
      <c r="AN7" s="57" t="n">
        <v>0.125835510781145</v>
      </c>
      <c r="AO7" s="57" t="inlineStr">
        <is>
          <t>歐盤高</t>
        </is>
      </c>
      <c r="AP7" s="57" t="inlineStr">
        <is>
          <t>假突破機率高</t>
        </is>
      </c>
    </row>
    <row r="8">
      <c r="A8" s="57" t="inlineStr">
        <is>
          <t>USDJPY</t>
        </is>
      </c>
      <c r="B8" s="57" t="n">
        <v>153.483</v>
      </c>
      <c r="C8" s="57" t="n">
        <v>155.288</v>
      </c>
      <c r="D8" s="57" t="n">
        <v>160.39</v>
      </c>
      <c r="E8" s="57" t="n">
        <v>153.237</v>
      </c>
      <c r="F8" s="57" t="n">
        <v>154.613</v>
      </c>
      <c r="G8" s="57">
        <f>'Data_v9最新'!D4</f>
        <v/>
      </c>
      <c r="H8" s="57">
        <f>'Data_v9最新'!E4</f>
        <v/>
      </c>
      <c r="I8" s="57">
        <f>'Data_v9最新'!F4</f>
        <v/>
      </c>
      <c r="J8" s="57">
        <f>'Data_v9最新'!G4</f>
        <v/>
      </c>
      <c r="K8" s="57">
        <f>'Data_v9最新'!H4</f>
        <v/>
      </c>
      <c r="L8" s="57">
        <f>'Data_v9最新'!I4</f>
        <v/>
      </c>
      <c r="M8" s="57">
        <f>IF(OR($B8="",$AA8=""),"",IF(AND($B8&gt;MAX($D8,$F8,$H8,$J8,$L8),$AA8="放量"),"🔺確認向上突破(放量)",IF($B8&gt;MAX($D8,$F8,$H8,$J8,$L8),"⚠疑似假突破(量縮)",IF(AND($B8&lt;MIN($C8,$E8,$G8,$I8,$K8),$AA8="放量"),"🔻確認向下突破(放量)",IF($B8&lt;MIN($C8,$E8,$G8,$I8,$K8),"⚠疑似假跌破(量縮)","區間整理")))))</f>
        <v/>
      </c>
      <c r="N8" s="57" t="n">
        <v>153.6733333333333</v>
      </c>
      <c r="O8" s="57" t="n">
        <v>153.6911904761905</v>
      </c>
      <c r="P8" s="57" t="n">
        <v>153.682708334165</v>
      </c>
      <c r="Q8" s="57" t="n">
        <v>-0.008458787270179237</v>
      </c>
      <c r="R8" s="57" t="n">
        <v>-0.009727900703527987</v>
      </c>
      <c r="S8" s="57" t="n">
        <v>-0.01204509527813365</v>
      </c>
      <c r="T8" s="57" t="inlineStr">
        <is>
          <t>空頭排列</t>
        </is>
      </c>
      <c r="U8" s="57" t="inlineStr">
        <is>
          <t>空頭排列</t>
        </is>
      </c>
      <c r="V8" s="57" t="n">
        <v>-4</v>
      </c>
      <c r="W8" s="57" t="inlineStr">
        <is>
          <t>強力空頭</t>
        </is>
      </c>
      <c r="X8" s="57" t="n">
        <v>0.04125000000000512</v>
      </c>
      <c r="Y8" s="57" t="n">
        <v>479</v>
      </c>
      <c r="Z8" s="57" t="n">
        <v>234.2</v>
      </c>
      <c r="AA8" s="57" t="inlineStr">
        <is>
          <t>放量</t>
        </is>
      </c>
      <c r="AB8" s="57" t="inlineStr">
        <is>
          <t>強勢空</t>
        </is>
      </c>
      <c r="AC8" s="57" t="n">
        <v>11</v>
      </c>
      <c r="AD8" s="57" t="n">
        <v>0</v>
      </c>
      <c r="AE8" s="57" t="inlineStr">
        <is>
          <t>強力多頭</t>
        </is>
      </c>
      <c r="AF8" s="57" t="n">
        <v>5</v>
      </c>
      <c r="AG8" s="57" t="n">
        <v>6</v>
      </c>
      <c r="AH8" s="57" t="inlineStr">
        <is>
          <t>多空不明</t>
        </is>
      </c>
      <c r="AI8" s="57" t="inlineStr">
        <is>
          <t>看跌吞噬</t>
        </is>
      </c>
      <c r="AJ8" s="57" t="inlineStr">
        <is>
          <t>觀望</t>
        </is>
      </c>
      <c r="AK8" s="57" t="n">
        <v>-1.535</v>
      </c>
      <c r="AL8" s="57" t="inlineStr">
        <is>
          <t>強力空頭</t>
        </is>
      </c>
      <c r="AM8" s="57" t="inlineStr">
        <is>
          <t>2026.09.12 19:09:58</t>
        </is>
      </c>
      <c r="AN8" s="57" t="n">
        <v>-0.5836097004870856</v>
      </c>
      <c r="AO8" s="57" t="n"/>
      <c r="AP8" s="57" t="inlineStr">
        <is>
          <t>無測試關鍵位</t>
        </is>
      </c>
    </row>
    <row r="9">
      <c r="A9" s="57" t="inlineStr">
        <is>
          <t>USDCAD</t>
        </is>
      </c>
      <c r="B9" s="57" t="n">
        <v>1.3872</v>
      </c>
      <c r="C9" s="57" t="n">
        <v>1.37651</v>
      </c>
      <c r="D9" s="57" t="n">
        <v>1.39397</v>
      </c>
      <c r="E9" s="57" t="n">
        <v>1.38242</v>
      </c>
      <c r="F9" s="57" t="n">
        <v>1.38838</v>
      </c>
      <c r="G9" s="57">
        <f>'Data_v9最新'!D5</f>
        <v/>
      </c>
      <c r="H9" s="57">
        <f>'Data_v9最新'!E5</f>
        <v/>
      </c>
      <c r="I9" s="57">
        <f>'Data_v9最新'!F5</f>
        <v/>
      </c>
      <c r="J9" s="57">
        <f>'Data_v9最新'!G5</f>
        <v/>
      </c>
      <c r="K9" s="57">
        <f>'Data_v9最新'!H5</f>
        <v/>
      </c>
      <c r="L9" s="57">
        <f>'Data_v9最新'!I5</f>
        <v/>
      </c>
      <c r="M9" s="57">
        <f>IF(OR($B9="",$AA9=""),"",IF(AND($B9&gt;MAX($D9,$F9,$H9,$J9,$L9),$AA9="放量"),"🔺確認向上突破(放量)",IF($B9&gt;MAX($D9,$F9,$H9,$J9,$L9),"⚠疑似假突破(量縮)",IF(AND($B9&lt;MIN($C9,$E9,$G9,$I9,$K9),$AA9="放量"),"🔻確認向下突破(放量)",IF($B9&lt;MIN($C9,$E9,$G9,$I9,$K9),"⚠疑似假跌破(量縮)","區間整理")))))</f>
        <v/>
      </c>
      <c r="N9" s="57" t="n">
        <v>1.3868</v>
      </c>
      <c r="O9" s="57" t="n">
        <v>1.386722380952381</v>
      </c>
      <c r="P9" s="57" t="n">
        <v>1.386744737147039</v>
      </c>
      <c r="Q9" s="57" t="n">
        <v>0.01682813664443567</v>
      </c>
      <c r="R9" s="57" t="n">
        <v>0.006147108901356199</v>
      </c>
      <c r="S9" s="57" t="n">
        <v>0.00861746926565052</v>
      </c>
      <c r="T9" s="57" t="inlineStr">
        <is>
          <t>多頭排列</t>
        </is>
      </c>
      <c r="U9" s="57" t="inlineStr">
        <is>
          <t>多頭排列</t>
        </is>
      </c>
      <c r="V9" s="57" t="n">
        <v>4</v>
      </c>
      <c r="W9" s="57" t="inlineStr">
        <is>
          <t>強力多頭</t>
        </is>
      </c>
      <c r="X9" s="57" t="n">
        <v>0.0003428571428572003</v>
      </c>
      <c r="Y9" s="57" t="n">
        <v>165</v>
      </c>
      <c r="Z9" s="57" t="n">
        <v>165.85</v>
      </c>
      <c r="AA9" s="57" t="inlineStr">
        <is>
          <t>正常</t>
        </is>
      </c>
      <c r="AB9" s="57" t="inlineStr">
        <is>
          <t>強勢多</t>
        </is>
      </c>
      <c r="AC9" s="57" t="n">
        <v>3</v>
      </c>
      <c r="AD9" s="57" t="n">
        <v>8</v>
      </c>
      <c r="AE9" s="57" t="inlineStr">
        <is>
          <t>偏空</t>
        </is>
      </c>
      <c r="AF9" s="57" t="n">
        <v>10</v>
      </c>
      <c r="AG9" s="57" t="n">
        <v>1</v>
      </c>
      <c r="AH9" s="57" t="inlineStr">
        <is>
          <t>強力多頭</t>
        </is>
      </c>
      <c r="AI9" s="57" t="inlineStr">
        <is>
          <t>無明顯型態</t>
        </is>
      </c>
      <c r="AJ9" s="57" t="inlineStr">
        <is>
          <t>觀望</t>
        </is>
      </c>
      <c r="AK9" s="57" t="n">
        <v>1.435</v>
      </c>
      <c r="AL9" s="57" t="inlineStr">
        <is>
          <t>強力多頭</t>
        </is>
      </c>
      <c r="AM9" s="57" t="inlineStr">
        <is>
          <t>2026.09.12 19:09:58</t>
        </is>
      </c>
      <c r="AN9" s="57" t="n">
        <v>0.3051381798724576</v>
      </c>
      <c r="AO9" s="57" t="n"/>
      <c r="AP9" s="57" t="inlineStr">
        <is>
          <t>無測試關鍵位</t>
        </is>
      </c>
    </row>
    <row r="10">
      <c r="A10" s="57" t="inlineStr">
        <is>
          <t>AUDUSD</t>
        </is>
      </c>
      <c r="B10" s="57" t="n">
        <v>0.71702</v>
      </c>
      <c r="C10" s="57" t="n">
        <v>0.71213</v>
      </c>
      <c r="D10" s="57" t="n">
        <v>0.72144</v>
      </c>
      <c r="E10" s="57" t="n">
        <v>0.71489</v>
      </c>
      <c r="F10" s="57" t="n">
        <v>0.71875</v>
      </c>
      <c r="G10" s="57">
        <f>'Data_v9最新'!D6</f>
        <v/>
      </c>
      <c r="H10" s="57">
        <f>'Data_v9最新'!E6</f>
        <v/>
      </c>
      <c r="I10" s="57">
        <f>'Data_v9最新'!F6</f>
        <v/>
      </c>
      <c r="J10" s="57">
        <f>'Data_v9最新'!G6</f>
        <v/>
      </c>
      <c r="K10" s="57">
        <f>'Data_v9最新'!H6</f>
        <v/>
      </c>
      <c r="L10" s="57">
        <f>'Data_v9最新'!I6</f>
        <v/>
      </c>
      <c r="M10" s="57">
        <f>IF(OR($B10="",$AA10=""),"",IF(AND($B10&gt;MAX($D10,$F10,$H10,$J10,$L10),$AA10="放量"),"🔺確認向上突破(放量)",IF($B10&gt;MAX($D10,$F10,$H10,$J10,$L10),"⚠疑似假突破(量縮)",IF(AND($B10&lt;MIN($C10,$E10,$G10,$I10,$K10),$AA10="放量"),"🔻確認向下突破(放量)",IF($B10&lt;MIN($C10,$E10,$G10,$I10,$K10),"⚠疑似假跌破(量縮)","區間整理")))))</f>
        <v/>
      </c>
      <c r="N10" s="57" t="n">
        <v>0.7169755555555555</v>
      </c>
      <c r="O10" s="57" t="n">
        <v>0.7171552380952381</v>
      </c>
      <c r="P10" s="57" t="n">
        <v>0.7170982448489345</v>
      </c>
      <c r="Q10" s="57" t="n">
        <v>-0.01162154665742495</v>
      </c>
      <c r="R10" s="57" t="n">
        <v>-0.005643674337386665</v>
      </c>
      <c r="S10" s="57" t="n">
        <v>-0.005981952836299725</v>
      </c>
      <c r="T10" s="57" t="inlineStr">
        <is>
          <t>震盪糾結</t>
        </is>
      </c>
      <c r="U10" s="57" t="inlineStr">
        <is>
          <t>震盪糾結</t>
        </is>
      </c>
      <c r="V10" s="57" t="n">
        <v>-2</v>
      </c>
      <c r="W10" s="57" t="inlineStr">
        <is>
          <t>偏空</t>
        </is>
      </c>
      <c r="X10" s="57" t="n">
        <v>0.0001907142857143099</v>
      </c>
      <c r="Y10" s="57" t="n">
        <v>107</v>
      </c>
      <c r="Z10" s="57" t="n">
        <v>128.3</v>
      </c>
      <c r="AA10" s="57" t="inlineStr">
        <is>
          <t>正常</t>
        </is>
      </c>
      <c r="AB10" s="57" t="inlineStr">
        <is>
          <t>偏空</t>
        </is>
      </c>
      <c r="AC10" s="57" t="n">
        <v>3</v>
      </c>
      <c r="AD10" s="57" t="n">
        <v>8</v>
      </c>
      <c r="AE10" s="57" t="inlineStr">
        <is>
          <t>偏空</t>
        </is>
      </c>
      <c r="AF10" s="57" t="n">
        <v>10</v>
      </c>
      <c r="AG10" s="57" t="n">
        <v>1</v>
      </c>
      <c r="AH10" s="57" t="inlineStr">
        <is>
          <t>偏多</t>
        </is>
      </c>
      <c r="AI10" s="57" t="inlineStr">
        <is>
          <t>十字星</t>
        </is>
      </c>
      <c r="AJ10" s="57" t="inlineStr">
        <is>
          <t>觀望</t>
        </is>
      </c>
      <c r="AK10" s="57" t="n">
        <v>-0.8600000000000001</v>
      </c>
      <c r="AL10" s="57" t="inlineStr">
        <is>
          <t>偏空</t>
        </is>
      </c>
      <c r="AM10" s="57" t="inlineStr">
        <is>
          <t>2026.09.12 19:09:58</t>
        </is>
      </c>
      <c r="AN10" s="57" t="n">
        <v>0.1872345182204348</v>
      </c>
      <c r="AO10" s="57" t="n"/>
      <c r="AP10" s="57" t="inlineStr">
        <is>
          <t>無測試關鍵位</t>
        </is>
      </c>
    </row>
    <row r="11">
      <c r="A11" s="57" t="inlineStr">
        <is>
          <t>NZDUSD</t>
        </is>
      </c>
      <c r="B11" s="57" t="n">
        <v>0.58127</v>
      </c>
      <c r="C11" s="57" t="n">
        <v>0.5802</v>
      </c>
      <c r="D11" s="57" t="n">
        <v>0.59288</v>
      </c>
      <c r="E11" s="57" t="n">
        <v>0.57922</v>
      </c>
      <c r="F11" s="57" t="n">
        <v>0.5835</v>
      </c>
      <c r="G11" s="57">
        <f>'Data_v9最新'!D7</f>
        <v/>
      </c>
      <c r="H11" s="57">
        <f>'Data_v9最新'!E7</f>
        <v/>
      </c>
      <c r="I11" s="57">
        <f>'Data_v9最新'!F7</f>
        <v/>
      </c>
      <c r="J11" s="57">
        <f>'Data_v9最新'!G7</f>
        <v/>
      </c>
      <c r="K11" s="57">
        <f>'Data_v9最新'!H7</f>
        <v/>
      </c>
      <c r="L11" s="57">
        <f>'Data_v9最新'!I7</f>
        <v/>
      </c>
      <c r="M11" s="57">
        <f>IF(OR($B11="",$AA11=""),"",IF(AND($B11&gt;MAX($D11,$F11,$H11,$J11,$L11),$AA11="放量"),"🔺確認向上突破(放量)",IF($B11&gt;MAX($D11,$F11,$H11,$J11,$L11),"⚠疑似假突破(量縮)",IF(AND($B11&lt;MIN($C11,$E11,$G11,$I11,$K11),$AA11="放量"),"🔻確認向下突破(放量)",IF($B11&lt;MIN($C11,$E11,$G11,$I11,$K11),"⚠疑似假跌破(量縮)","區間整理")))))</f>
        <v/>
      </c>
      <c r="N11" s="57" t="n">
        <v>0.5812122222222222</v>
      </c>
      <c r="O11" s="57" t="n">
        <v>0.5813095238095238</v>
      </c>
      <c r="P11" s="57" t="n">
        <v>0.581287344504309</v>
      </c>
      <c r="Q11" s="57" t="n">
        <v>-0.007646268334329681</v>
      </c>
      <c r="R11" s="57" t="n">
        <v>-0.002703183121006458</v>
      </c>
      <c r="S11" s="57" t="n">
        <v>-0.004600100288579278</v>
      </c>
      <c r="T11" s="57" t="inlineStr">
        <is>
          <t>震盪糾結</t>
        </is>
      </c>
      <c r="U11" s="57" t="inlineStr">
        <is>
          <t>震盪糾結</t>
        </is>
      </c>
      <c r="V11" s="57" t="n">
        <v>-2</v>
      </c>
      <c r="W11" s="57" t="inlineStr">
        <is>
          <t>偏空</t>
        </is>
      </c>
      <c r="X11" s="57" t="n">
        <v>0.0001639285714285748</v>
      </c>
      <c r="Y11" s="57" t="n">
        <v>100</v>
      </c>
      <c r="Z11" s="57" t="n">
        <v>94.25</v>
      </c>
      <c r="AA11" s="57" t="inlineStr">
        <is>
          <t>正常</t>
        </is>
      </c>
      <c r="AB11" s="57" t="inlineStr">
        <is>
          <t>偏空</t>
        </is>
      </c>
      <c r="AC11" s="57" t="n">
        <v>5</v>
      </c>
      <c r="AD11" s="57" t="n">
        <v>6</v>
      </c>
      <c r="AE11" s="57" t="inlineStr">
        <is>
          <t>多空不明</t>
        </is>
      </c>
      <c r="AF11" s="57" t="n">
        <v>3</v>
      </c>
      <c r="AG11" s="57" t="n">
        <v>8</v>
      </c>
      <c r="AH11" s="57" t="inlineStr">
        <is>
          <t>偏空</t>
        </is>
      </c>
      <c r="AI11" s="57" t="inlineStr">
        <is>
          <t>無明顯型態</t>
        </is>
      </c>
      <c r="AJ11" s="57" t="inlineStr">
        <is>
          <t>觀望</t>
        </is>
      </c>
      <c r="AK11" s="57" t="n">
        <v>-0.595</v>
      </c>
      <c r="AL11" s="57" t="inlineStr">
        <is>
          <t>偏空</t>
        </is>
      </c>
      <c r="AM11" s="57" t="inlineStr">
        <is>
          <t>2026.09.12 19:09:58</t>
        </is>
      </c>
      <c r="AN11" s="57" t="n">
        <v>0.2310623695963319</v>
      </c>
      <c r="AO11" s="57" t="n"/>
      <c r="AP11" s="57" t="inlineStr">
        <is>
          <t>無測試關鍵位</t>
        </is>
      </c>
    </row>
    <row r="12">
      <c r="A12" s="57" t="inlineStr">
        <is>
          <t>USDCHF</t>
        </is>
      </c>
      <c r="B12" s="57" t="n">
        <v>0.8164400000000001</v>
      </c>
      <c r="C12" s="57" t="n">
        <v>0.80522</v>
      </c>
      <c r="D12" s="57" t="n">
        <v>0.81565</v>
      </c>
      <c r="E12" s="57" t="n">
        <v>0.81242</v>
      </c>
      <c r="F12" s="57" t="n">
        <v>0.81704</v>
      </c>
      <c r="G12" s="57">
        <f>'Data_v9最新'!D8</f>
        <v/>
      </c>
      <c r="H12" s="57">
        <f>'Data_v9最新'!E8</f>
        <v/>
      </c>
      <c r="I12" s="57">
        <f>'Data_v9最新'!F8</f>
        <v/>
      </c>
      <c r="J12" s="57">
        <f>'Data_v9最新'!G8</f>
        <v/>
      </c>
      <c r="K12" s="57">
        <f>'Data_v9最新'!H8</f>
        <v/>
      </c>
      <c r="L12" s="57">
        <f>'Data_v9最新'!I8</f>
        <v/>
      </c>
      <c r="M12" s="57">
        <f>IF(OR($B12="",$AA12=""),"",IF(AND($B12&gt;MAX($D12,$F12,$H12,$J12,$L12),$AA12="放量"),"🔺確認向上突破(放量)",IF($B12&gt;MAX($D12,$F12,$H12,$J12,$L12),"⚠疑似假突破(量縮)",IF(AND($B12&lt;MIN($C12,$E12,$G12,$I12,$K12),$AA12="放量"),"🔻確認向下突破(放量)",IF($B12&lt;MIN($C12,$E12,$G12,$I12,$K12),"⚠疑似假跌破(量縮)","區間整理")))))</f>
        <v/>
      </c>
      <c r="N12" s="57" t="n">
        <v>0.8166433333333334</v>
      </c>
      <c r="O12" s="57" t="n">
        <v>0.8166428571428571</v>
      </c>
      <c r="P12" s="57" t="n">
        <v>0.8166186321759227</v>
      </c>
      <c r="Q12" s="57" t="n">
        <v>0.0005442361985137188</v>
      </c>
      <c r="R12" s="57" t="n">
        <v>-0.001282819777833729</v>
      </c>
      <c r="S12" s="57" t="n">
        <v>-0.0008482774204883108</v>
      </c>
      <c r="T12" s="57" t="inlineStr">
        <is>
          <t>震盪糾結</t>
        </is>
      </c>
      <c r="U12" s="57" t="inlineStr">
        <is>
          <t>震盪糾結</t>
        </is>
      </c>
      <c r="V12" s="57" t="n">
        <v>0</v>
      </c>
      <c r="W12" s="57" t="inlineStr">
        <is>
          <t>多空不明</t>
        </is>
      </c>
      <c r="X12" s="57" t="n">
        <v>0.0002357142857142597</v>
      </c>
      <c r="Y12" s="57" t="n">
        <v>450</v>
      </c>
      <c r="Z12" s="57" t="n">
        <v>124.3</v>
      </c>
      <c r="AA12" s="57" t="inlineStr">
        <is>
          <t>放量</t>
        </is>
      </c>
      <c r="AB12" s="57" t="inlineStr">
        <is>
          <t>震盪</t>
        </is>
      </c>
      <c r="AC12" s="57" t="n">
        <v>5</v>
      </c>
      <c r="AD12" s="57" t="n">
        <v>6</v>
      </c>
      <c r="AE12" s="57" t="inlineStr">
        <is>
          <t>多空不明</t>
        </is>
      </c>
      <c r="AF12" s="57" t="n">
        <v>9</v>
      </c>
      <c r="AG12" s="57" t="n">
        <v>2</v>
      </c>
      <c r="AH12" s="57" t="inlineStr">
        <is>
          <t>偏多</t>
        </is>
      </c>
      <c r="AI12" s="57" t="inlineStr">
        <is>
          <t>無明顯型態</t>
        </is>
      </c>
      <c r="AJ12" s="57" t="inlineStr">
        <is>
          <t>觀望</t>
        </is>
      </c>
      <c r="AK12" s="57" t="n">
        <v>-1.24</v>
      </c>
      <c r="AL12" s="57" t="inlineStr">
        <is>
          <t>強力空頭</t>
        </is>
      </c>
      <c r="AM12" s="57" t="inlineStr">
        <is>
          <t>2026.09.12 19:09:58</t>
        </is>
      </c>
      <c r="AN12" s="57" t="n">
        <v>0.4663754383806155</v>
      </c>
      <c r="AO12" s="57" t="n"/>
      <c r="AP12" s="57" t="inlineStr">
        <is>
          <t>無測試關鍵位</t>
        </is>
      </c>
    </row>
    <row r="13">
      <c r="A13" s="57" t="inlineStr">
        <is>
          <t>XAUUSD</t>
        </is>
      </c>
      <c r="B13" s="57" t="n">
        <v>4347.45</v>
      </c>
      <c r="C13" s="57" t="n">
        <v>4282.4</v>
      </c>
      <c r="D13" s="57" t="n">
        <v>4510.65</v>
      </c>
      <c r="E13" s="57" t="n">
        <v>4288.16</v>
      </c>
      <c r="F13" s="57" t="n">
        <v>4402.32</v>
      </c>
      <c r="G13" s="57">
        <f>'Data_v9最新'!D9</f>
        <v/>
      </c>
      <c r="H13" s="57">
        <f>'Data_v9最新'!E9</f>
        <v/>
      </c>
      <c r="I13" s="57">
        <f>'Data_v9最新'!F9</f>
        <v/>
      </c>
      <c r="J13" s="57">
        <f>'Data_v9最新'!G9</f>
        <v/>
      </c>
      <c r="K13" s="57">
        <f>'Data_v9最新'!H9</f>
        <v/>
      </c>
      <c r="L13" s="57">
        <f>'Data_v9最新'!I9</f>
        <v/>
      </c>
      <c r="M13" s="57">
        <f>IF(OR($B13="",$AA13=""),"",IF(AND($B13&gt;MAX($D13,$F13,$H13,$J13,$L13),$AA13="放量"),"🔺確認向上突破(放量)",IF($B13&gt;MAX($D13,$F13,$H13,$J13,$L13),"⚠疑似假突破(量縮)",IF(AND($B13&lt;MIN($C13,$E13,$G13,$I13,$K13),$AA13="放量"),"🔻確認向下突破(放量)",IF($B13&lt;MIN($C13,$E13,$G13,$I13,$K13),"⚠疑似假跌破(量縮)","區間整理")))))</f>
        <v/>
      </c>
      <c r="N13" s="57" t="n">
        <v>4348.38</v>
      </c>
      <c r="O13" s="57" t="n">
        <v>4347.981904761905</v>
      </c>
      <c r="P13" s="57" t="n">
        <v>4348.540804927511</v>
      </c>
      <c r="Q13" s="57" t="n">
        <v>0.0002299712306040718</v>
      </c>
      <c r="R13" s="57" t="n">
        <v>0.003176177529460578</v>
      </c>
      <c r="S13" s="57" t="n">
        <v>-0.008545962566718796</v>
      </c>
      <c r="T13" s="57" t="inlineStr">
        <is>
          <t>空頭排列</t>
        </is>
      </c>
      <c r="U13" s="57" t="inlineStr">
        <is>
          <t>空頭排列</t>
        </is>
      </c>
      <c r="V13" s="57" t="n">
        <v>-2</v>
      </c>
      <c r="W13" s="57" t="inlineStr">
        <is>
          <t>偏空</t>
        </is>
      </c>
      <c r="X13" s="57" t="n">
        <v>3.78964285714265</v>
      </c>
      <c r="Y13" s="57" t="n">
        <v>316</v>
      </c>
      <c r="Z13" s="57" t="n">
        <v>627.05</v>
      </c>
      <c r="AA13" s="57" t="inlineStr">
        <is>
          <t>縮量</t>
        </is>
      </c>
      <c r="AB13" s="57" t="inlineStr">
        <is>
          <t>偏空</t>
        </is>
      </c>
      <c r="AC13" s="57" t="n">
        <v>5</v>
      </c>
      <c r="AD13" s="57" t="n">
        <v>6</v>
      </c>
      <c r="AE13" s="57" t="inlineStr">
        <is>
          <t>多空不明</t>
        </is>
      </c>
      <c r="AF13" s="57" t="n">
        <v>1</v>
      </c>
      <c r="AG13" s="57" t="n">
        <v>10</v>
      </c>
      <c r="AH13" s="57" t="inlineStr">
        <is>
          <t>強力空頭</t>
        </is>
      </c>
      <c r="AI13" s="57" t="inlineStr">
        <is>
          <t>無明顯型態</t>
        </is>
      </c>
      <c r="AJ13" s="57" t="inlineStr">
        <is>
          <t>觀望</t>
        </is>
      </c>
      <c r="AK13" s="57" t="n">
        <v>-0.335</v>
      </c>
      <c r="AL13" s="57" t="inlineStr">
        <is>
          <t>偏空</t>
        </is>
      </c>
      <c r="AM13" s="57" t="inlineStr">
        <is>
          <t>2026.09.12 19:09:58</t>
        </is>
      </c>
      <c r="AN13" s="57" t="n">
        <v>0.5900114531635027</v>
      </c>
      <c r="AO13" s="57" t="n"/>
      <c r="AP13" s="57" t="inlineStr">
        <is>
          <t>無測試關鍵位</t>
        </is>
      </c>
    </row>
    <row r="14">
      <c r="A14" s="57" t="inlineStr">
        <is>
          <t>US500.cash</t>
        </is>
      </c>
      <c r="B14" s="57" t="n">
        <v>7655.15</v>
      </c>
      <c r="C14" s="57" t="n">
        <v>7608.85</v>
      </c>
      <c r="D14" s="57" t="n">
        <v>7756.25</v>
      </c>
      <c r="E14" s="57" t="n">
        <v>7586.15</v>
      </c>
      <c r="F14" s="57" t="n">
        <v>7678.35</v>
      </c>
      <c r="G14" s="57">
        <f>'Data_v9最新'!D10</f>
        <v/>
      </c>
      <c r="H14" s="57">
        <f>'Data_v9最新'!E10</f>
        <v/>
      </c>
      <c r="I14" s="57">
        <f>'Data_v9最新'!F10</f>
        <v/>
      </c>
      <c r="J14" s="57">
        <f>'Data_v9最新'!G10</f>
        <v/>
      </c>
      <c r="K14" s="57">
        <f>'Data_v9最新'!H10</f>
        <v/>
      </c>
      <c r="L14" s="57">
        <f>'Data_v9最新'!I10</f>
        <v/>
      </c>
      <c r="M14" s="57">
        <f>IF(OR($B14="",$AA14=""),"",IF(AND($B14&gt;MAX($D14,$F14,$H14,$J14,$L14),$AA14="放量"),"🔺確認向上突破(放量)",IF($B14&gt;MAX($D14,$F14,$H14,$J14,$L14),"⚠疑似假突破(量縮)",IF(AND($B14&lt;MIN($C14,$E14,$G14,$I14,$K14),$AA14="放量"),"🔻確認向下突破(放量)",IF($B14&lt;MIN($C14,$E14,$G14,$I14,$K14),"⚠疑似假跌破(量縮)","區間整理")))))</f>
        <v/>
      </c>
      <c r="N14" s="57" t="n">
        <v>7656.072222222221</v>
      </c>
      <c r="O14" s="57" t="n">
        <v>7658.627619047618</v>
      </c>
      <c r="P14" s="57" t="n">
        <v>7658.593141247151</v>
      </c>
      <c r="Q14" s="57" t="n">
        <v>-0.001349672987310151</v>
      </c>
      <c r="R14" s="57" t="n">
        <v>-0.0139878677317276</v>
      </c>
      <c r="S14" s="57" t="n">
        <v>-0.01165456498869557</v>
      </c>
      <c r="T14" s="57" t="inlineStr">
        <is>
          <t>空頭排列</t>
        </is>
      </c>
      <c r="U14" s="57" t="inlineStr">
        <is>
          <t>空頭排列</t>
        </is>
      </c>
      <c r="V14" s="57" t="n">
        <v>-4</v>
      </c>
      <c r="W14" s="57" t="inlineStr">
        <is>
          <t>強力空頭</t>
        </is>
      </c>
      <c r="X14" s="57" t="n">
        <v>3.385714285714325</v>
      </c>
      <c r="Y14" s="57" t="n">
        <v>46</v>
      </c>
      <c r="Z14" s="57" t="n">
        <v>118.45</v>
      </c>
      <c r="AA14" s="57" t="inlineStr">
        <is>
          <t>縮量</t>
        </is>
      </c>
      <c r="AB14" s="57" t="inlineStr">
        <is>
          <t>強勢空</t>
        </is>
      </c>
      <c r="AC14" s="57" t="n">
        <v>10</v>
      </c>
      <c r="AD14" s="57" t="n">
        <v>1</v>
      </c>
      <c r="AE14" s="57" t="inlineStr">
        <is>
          <t>強力多頭</t>
        </is>
      </c>
      <c r="AF14" s="57" t="n">
        <v>11</v>
      </c>
      <c r="AG14" s="57" t="n">
        <v>0</v>
      </c>
      <c r="AH14" s="57" t="inlineStr">
        <is>
          <t>強力多頭</t>
        </is>
      </c>
      <c r="AI14" s="57" t="inlineStr">
        <is>
          <t>昏星(3根反轉)</t>
        </is>
      </c>
      <c r="AJ14" s="57" t="inlineStr">
        <is>
          <t>觀望</t>
        </is>
      </c>
      <c r="AK14" s="57" t="n">
        <v>-1.1</v>
      </c>
      <c r="AL14" s="57" t="inlineStr">
        <is>
          <t>強力空頭</t>
        </is>
      </c>
      <c r="AM14" s="57" t="inlineStr">
        <is>
          <t>2026.09.12 19:09:58</t>
        </is>
      </c>
      <c r="AN14" s="57" t="n">
        <v>0.7610568449705318</v>
      </c>
      <c r="AO14" s="57" t="n"/>
      <c r="AP14" s="57" t="inlineStr">
        <is>
          <t>無測試關鍵位</t>
        </is>
      </c>
    </row>
    <row r="15">
      <c r="A15" s="57" t="inlineStr">
        <is>
          <t>US30.cash</t>
        </is>
      </c>
      <c r="B15" s="57" t="n">
        <v>52548.13</v>
      </c>
      <c r="C15" s="57" t="n">
        <v>52661.36</v>
      </c>
      <c r="D15" s="57" t="n">
        <v>53757.95</v>
      </c>
      <c r="E15" s="57" t="n">
        <v>51957.75</v>
      </c>
      <c r="F15" s="57" t="n">
        <v>52708.85</v>
      </c>
      <c r="G15" s="57">
        <f>'Data_v9最新'!D11</f>
        <v/>
      </c>
      <c r="H15" s="57">
        <f>'Data_v9最新'!E11</f>
        <v/>
      </c>
      <c r="I15" s="57">
        <f>'Data_v9最新'!F11</f>
        <v/>
      </c>
      <c r="J15" s="57">
        <f>'Data_v9最新'!G11</f>
        <v/>
      </c>
      <c r="K15" s="57">
        <f>'Data_v9最新'!H11</f>
        <v/>
      </c>
      <c r="L15" s="57">
        <f>'Data_v9最新'!I11</f>
        <v/>
      </c>
      <c r="M15" s="57">
        <f>IF(OR($B15="",$AA15=""),"",IF(AND($B15&gt;MAX($D15,$F15,$H15,$J15,$L15),$AA15="放量"),"🔺確認向上突破(放量)",IF($B15&gt;MAX($D15,$F15,$H15,$J15,$L15),"⚠疑似假突破(量縮)",IF(AND($B15&lt;MIN($C15,$E15,$G15,$I15,$K15),$AA15="放量"),"🔻確認向下突破(放量)",IF($B15&lt;MIN($C15,$E15,$G15,$I15,$K15),"⚠疑似假跌破(量縮)","區間整理")))))</f>
        <v/>
      </c>
      <c r="N15" s="57" t="n">
        <v>52559.78999999999</v>
      </c>
      <c r="O15" s="57" t="n">
        <v>52565.56714285714</v>
      </c>
      <c r="P15" s="57" t="n">
        <v>52567.42346583786</v>
      </c>
      <c r="Q15" s="57" t="n">
        <v>-0.006713596027596262</v>
      </c>
      <c r="R15" s="57" t="n">
        <v>-0.006310087996380597</v>
      </c>
      <c r="S15" s="57" t="n">
        <v>-0.008476275198798202</v>
      </c>
      <c r="T15" s="57" t="inlineStr">
        <is>
          <t>空頭排列</t>
        </is>
      </c>
      <c r="U15" s="57" t="inlineStr">
        <is>
          <t>空頭排列</t>
        </is>
      </c>
      <c r="V15" s="57" t="n">
        <v>-4</v>
      </c>
      <c r="W15" s="57" t="inlineStr">
        <is>
          <t>強力空頭</t>
        </is>
      </c>
      <c r="X15" s="57" t="n">
        <v>24.06428571428634</v>
      </c>
      <c r="Y15" s="57" t="n">
        <v>154</v>
      </c>
      <c r="Z15" s="57" t="n">
        <v>381.4</v>
      </c>
      <c r="AA15" s="57" t="inlineStr">
        <is>
          <t>縮量</t>
        </is>
      </c>
      <c r="AB15" s="57" t="inlineStr">
        <is>
          <t>強勢空</t>
        </is>
      </c>
      <c r="AC15" s="57" t="n">
        <v>9</v>
      </c>
      <c r="AD15" s="57" t="n">
        <v>2</v>
      </c>
      <c r="AE15" s="57" t="inlineStr">
        <is>
          <t>偏多</t>
        </is>
      </c>
      <c r="AF15" s="57" t="n">
        <v>3</v>
      </c>
      <c r="AG15" s="57" t="n">
        <v>8</v>
      </c>
      <c r="AH15" s="57" t="inlineStr">
        <is>
          <t>偏空</t>
        </is>
      </c>
      <c r="AI15" s="57" t="inlineStr">
        <is>
          <t>看漲針線</t>
        </is>
      </c>
      <c r="AJ15" s="57" t="inlineStr">
        <is>
          <t>觀望</t>
        </is>
      </c>
      <c r="AK15" s="57" t="n">
        <v>-1.535</v>
      </c>
      <c r="AL15" s="57" t="inlineStr">
        <is>
          <t>強力空頭</t>
        </is>
      </c>
      <c r="AM15" s="57" t="inlineStr">
        <is>
          <t>2026.09.12 19:09:58</t>
        </is>
      </c>
      <c r="AN15" s="57" t="n">
        <v>0.9561880660736081</v>
      </c>
      <c r="AO15" s="57" t="n"/>
      <c r="AP15" s="57" t="inlineStr">
        <is>
          <t>無測試關鍵位</t>
        </is>
      </c>
    </row>
    <row r="16">
      <c r="A16" s="57" t="inlineStr">
        <is>
          <t>US100.cash</t>
        </is>
      </c>
      <c r="B16" s="57" t="n">
        <v>29363.44</v>
      </c>
      <c r="C16" s="57" t="n">
        <v>28878.53</v>
      </c>
      <c r="D16" s="57" t="n">
        <v>29648.28</v>
      </c>
      <c r="E16" s="57" t="n">
        <v>29016.53</v>
      </c>
      <c r="F16" s="57" t="n">
        <v>29475.13</v>
      </c>
      <c r="G16" s="57">
        <f>'Data_v9最新'!D12</f>
        <v/>
      </c>
      <c r="H16" s="57">
        <f>'Data_v9最新'!E12</f>
        <v/>
      </c>
      <c r="I16" s="57">
        <f>'Data_v9最新'!F12</f>
        <v/>
      </c>
      <c r="J16" s="57">
        <f>'Data_v9最新'!G12</f>
        <v/>
      </c>
      <c r="K16" s="57">
        <f>'Data_v9最新'!H12</f>
        <v/>
      </c>
      <c r="L16" s="57">
        <f>'Data_v9最新'!I12</f>
        <v/>
      </c>
      <c r="M16" s="57">
        <f>IF(OR($B16="",$AA16=""),"",IF(AND($B16&gt;MAX($D16,$F16,$H16,$J16,$L16),$AA16="放量"),"🔺確認向上突破(放量)",IF($B16&gt;MAX($D16,$F16,$H16,$J16,$L16),"⚠疑似假突破(量縮)",IF(AND($B16&lt;MIN($C16,$E16,$G16,$I16,$K16),$AA16="放量"),"🔻確認向下突破(放量)",IF($B16&lt;MIN($C16,$E16,$G16,$I16,$K16),"⚠疑似假跌破(量縮)","區間整理")))))</f>
        <v/>
      </c>
      <c r="N16" s="57" t="n">
        <v>29362.46222222222</v>
      </c>
      <c r="O16" s="57" t="n">
        <v>29376.63476190476</v>
      </c>
      <c r="P16" s="57" t="n">
        <v>29376.38368312597</v>
      </c>
      <c r="Q16" s="57" t="n">
        <v>-0.002830442422354375</v>
      </c>
      <c r="R16" s="57" t="n">
        <v>-0.01804963755671772</v>
      </c>
      <c r="S16" s="57" t="n">
        <v>-0.01153636928992683</v>
      </c>
      <c r="T16" s="57" t="inlineStr">
        <is>
          <t>震盪糾結</t>
        </is>
      </c>
      <c r="U16" s="57" t="inlineStr">
        <is>
          <t>震盪糾結</t>
        </is>
      </c>
      <c r="V16" s="57" t="n">
        <v>-2</v>
      </c>
      <c r="W16" s="57" t="inlineStr">
        <is>
          <t>偏空</t>
        </is>
      </c>
      <c r="X16" s="57" t="n">
        <v>17.77714285714306</v>
      </c>
      <c r="Y16" s="57" t="n">
        <v>444</v>
      </c>
      <c r="Z16" s="57" t="n">
        <v>1059.7</v>
      </c>
      <c r="AA16" s="57" t="inlineStr">
        <is>
          <t>縮量</t>
        </is>
      </c>
      <c r="AB16" s="57" t="inlineStr">
        <is>
          <t>偏空</t>
        </is>
      </c>
      <c r="AC16" s="57" t="n">
        <v>10</v>
      </c>
      <c r="AD16" s="57" t="n">
        <v>1</v>
      </c>
      <c r="AE16" s="57" t="inlineStr">
        <is>
          <t>強力多頭</t>
        </is>
      </c>
      <c r="AF16" s="57" t="n">
        <v>11</v>
      </c>
      <c r="AG16" s="57" t="n">
        <v>0</v>
      </c>
      <c r="AH16" s="57" t="inlineStr">
        <is>
          <t>強力多頭</t>
        </is>
      </c>
      <c r="AI16" s="57" t="inlineStr">
        <is>
          <t>無明顯型態</t>
        </is>
      </c>
      <c r="AJ16" s="57" t="inlineStr">
        <is>
          <t>觀望</t>
        </is>
      </c>
      <c r="AK16" s="57" t="n">
        <v>-0.8475</v>
      </c>
      <c r="AL16" s="57" t="inlineStr">
        <is>
          <t>偏空</t>
        </is>
      </c>
      <c r="AM16" s="57" t="inlineStr">
        <is>
          <t>2026.09.12 19:09:58</t>
        </is>
      </c>
      <c r="AN16" s="57" t="n">
        <v>0.8233860877280424</v>
      </c>
      <c r="AO16" s="57" t="n"/>
      <c r="AP16" s="57" t="inlineStr">
        <is>
          <t>無測試關鍵位</t>
        </is>
      </c>
    </row>
    <row r="17">
      <c r="A17" s="57" t="inlineStr">
        <is>
          <t>JP225.cash</t>
        </is>
      </c>
      <c r="B17" s="57" t="n">
        <v>64695.5</v>
      </c>
      <c r="C17" s="57" t="n">
        <v>63692</v>
      </c>
      <c r="D17" s="57" t="n">
        <v>66534</v>
      </c>
      <c r="E17" s="57" t="n">
        <v>63059</v>
      </c>
      <c r="F17" s="57" t="n">
        <v>64926</v>
      </c>
      <c r="G17" s="57">
        <f>'Data_v9最新'!D13</f>
        <v/>
      </c>
      <c r="H17" s="57">
        <f>'Data_v9最新'!E13</f>
        <v/>
      </c>
      <c r="I17" s="57">
        <f>'Data_v9最新'!F13</f>
        <v/>
      </c>
      <c r="J17" s="57">
        <f>'Data_v9最新'!G13</f>
        <v/>
      </c>
      <c r="K17" s="57">
        <f>'Data_v9最新'!H13</f>
        <v/>
      </c>
      <c r="L17" s="57">
        <f>'Data_v9最新'!I13</f>
        <v/>
      </c>
      <c r="M17" s="57">
        <f>IF(OR($B17="",$AA17=""),"",IF(AND($B17&gt;MAX($D17,$F17,$H17,$J17,$L17),$AA17="放量"),"🔺確認向上突破(放量)",IF($B17&gt;MAX($D17,$F17,$H17,$J17,$L17),"⚠疑似假突破(量縮)",IF(AND($B17&lt;MIN($C17,$E17,$G17,$I17,$K17),$AA17="放量"),"🔻確認向下突破(放量)",IF($B17&lt;MIN($C17,$E17,$G17,$I17,$K17),"⚠疑似假跌破(量縮)","區間整理")))))</f>
        <v/>
      </c>
      <c r="N17" s="57" t="n">
        <v>64705.27777777778</v>
      </c>
      <c r="O17" s="57" t="n">
        <v>64716</v>
      </c>
      <c r="P17" s="57" t="n">
        <v>64716.8376840564</v>
      </c>
      <c r="Q17" s="57" t="n">
        <v>-0.0172547592231372</v>
      </c>
      <c r="R17" s="57" t="n">
        <v>-0.0007358102669083516</v>
      </c>
      <c r="S17" s="57" t="n">
        <v>-0.008517572961598295</v>
      </c>
      <c r="T17" s="57" t="inlineStr">
        <is>
          <t>空頭排列</t>
        </is>
      </c>
      <c r="U17" s="57" t="inlineStr">
        <is>
          <t>空頭排列</t>
        </is>
      </c>
      <c r="V17" s="57" t="n">
        <v>-4</v>
      </c>
      <c r="W17" s="57" t="inlineStr">
        <is>
          <t>強力空頭</t>
        </is>
      </c>
      <c r="X17" s="57" t="n">
        <v>49.125</v>
      </c>
      <c r="Y17" s="57" t="n">
        <v>29</v>
      </c>
      <c r="Z17" s="57" t="n">
        <v>106.85</v>
      </c>
      <c r="AA17" s="57" t="inlineStr">
        <is>
          <t>縮量</t>
        </is>
      </c>
      <c r="AB17" s="57" t="inlineStr">
        <is>
          <t>強勢空</t>
        </is>
      </c>
      <c r="AC17" s="57" t="n">
        <v>10</v>
      </c>
      <c r="AD17" s="57" t="n">
        <v>1</v>
      </c>
      <c r="AE17" s="57" t="inlineStr">
        <is>
          <t>強力多頭</t>
        </is>
      </c>
      <c r="AF17" s="57" t="n">
        <v>10</v>
      </c>
      <c r="AG17" s="57" t="n">
        <v>1</v>
      </c>
      <c r="AH17" s="57" t="inlineStr">
        <is>
          <t>強力多頭</t>
        </is>
      </c>
      <c r="AI17" s="57" t="inlineStr">
        <is>
          <t>看跌吞噬</t>
        </is>
      </c>
      <c r="AJ17" s="57" t="inlineStr">
        <is>
          <t>觀望</t>
        </is>
      </c>
      <c r="AK17" s="57" t="n">
        <v>-1.2825</v>
      </c>
      <c r="AL17" s="57" t="inlineStr">
        <is>
          <t>強力空頭</t>
        </is>
      </c>
      <c r="AM17" s="57" t="inlineStr">
        <is>
          <t>2026.09.12 19:09:58</t>
        </is>
      </c>
      <c r="AN17" s="57" t="n">
        <v>0.9897685721707125</v>
      </c>
      <c r="AO17" s="57" t="n"/>
      <c r="AP17" s="57" t="inlineStr">
        <is>
          <t>無測試關鍵位</t>
        </is>
      </c>
    </row>
  </sheetData>
  <mergeCells count="7">
    <mergeCell ref="A4:B4"/>
    <mergeCell ref="A1:AP1"/>
    <mergeCell ref="C4:F4"/>
    <mergeCell ref="A3:AP3"/>
    <mergeCell ref="N4:AP4"/>
    <mergeCell ref="G4:L4"/>
    <mergeCell ref="A2:AP2"/>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M13"/>
  <sheetViews>
    <sheetView workbookViewId="0">
      <pane ySplit="1" topLeftCell="A2" activePane="bottomLeft" state="frozen"/>
      <selection pane="bottomLeft" activeCell="A1" sqref="A1"/>
    </sheetView>
  </sheetViews>
  <sheetFormatPr baseColWidth="8" defaultRowHeight="15"/>
  <cols>
    <col width="14.7109375" customWidth="1" min="1" max="1"/>
    <col width="19.5703125" customWidth="1" min="37" max="37"/>
  </cols>
  <sheetData>
    <row r="1" ht="35.1" customHeight="1">
      <c r="A1" s="15" t="inlineStr">
        <is>
          <t>Symbol</t>
        </is>
      </c>
      <c r="B1" s="15" t="inlineStr">
        <is>
          <t>即時 Bid</t>
        </is>
      </c>
      <c r="C1" s="15" t="inlineStr">
        <is>
          <t>今日漲跌%</t>
        </is>
      </c>
      <c r="D1" s="15" t="inlineStr">
        <is>
          <t>亞盤低</t>
        </is>
      </c>
      <c r="E1" s="15" t="inlineStr">
        <is>
          <t>亞盤高</t>
        </is>
      </c>
      <c r="F1" s="15" t="inlineStr">
        <is>
          <t>歐盤低</t>
        </is>
      </c>
      <c r="G1" s="15" t="inlineStr">
        <is>
          <t>歐盤高</t>
        </is>
      </c>
      <c r="H1" s="15" t="inlineStr">
        <is>
          <t>美盤低</t>
        </is>
      </c>
      <c r="I1" s="15" t="inlineStr">
        <is>
          <t>美盤高</t>
        </is>
      </c>
      <c r="J1" s="15" t="inlineStr">
        <is>
          <t>週支撐</t>
        </is>
      </c>
      <c r="K1" s="15" t="inlineStr">
        <is>
          <t>週壓力</t>
        </is>
      </c>
      <c r="L1" s="15" t="inlineStr">
        <is>
          <t>近支撐</t>
        </is>
      </c>
      <c r="M1" s="15" t="inlineStr">
        <is>
          <t>近壓力</t>
        </is>
      </c>
      <c r="N1" s="15" t="inlineStr">
        <is>
          <t>支撐觸碰</t>
        </is>
      </c>
      <c r="O1" s="15" t="inlineStr">
        <is>
          <t>壓力觸碰</t>
        </is>
      </c>
      <c r="P1" s="15" t="inlineStr">
        <is>
          <t>支撐有效</t>
        </is>
      </c>
      <c r="Q1" s="15" t="inlineStr">
        <is>
          <t>壓力有效</t>
        </is>
      </c>
      <c r="R1" s="15" t="inlineStr">
        <is>
          <t>短MA</t>
        </is>
      </c>
      <c r="S1" s="15" t="inlineStr">
        <is>
          <t>長MA</t>
        </is>
      </c>
      <c r="T1" s="15" t="inlineStr">
        <is>
          <t>EMA</t>
        </is>
      </c>
      <c r="U1" s="15" t="inlineStr">
        <is>
          <t>短MA斜率%</t>
        </is>
      </c>
      <c r="V1" s="15" t="inlineStr">
        <is>
          <t>長MA斜率%</t>
        </is>
      </c>
      <c r="W1" s="15" t="inlineStr">
        <is>
          <t>EMA斜率%</t>
        </is>
      </c>
      <c r="X1" s="15" t="inlineStr">
        <is>
          <t>均線排列</t>
        </is>
      </c>
      <c r="Y1" s="15" t="inlineStr">
        <is>
          <t>交叉狀態</t>
        </is>
      </c>
      <c r="Z1" s="15" t="inlineStr">
        <is>
          <t>趨勢分數</t>
        </is>
      </c>
      <c r="AA1" s="15" t="inlineStr">
        <is>
          <t>趨勢判定</t>
        </is>
      </c>
      <c r="AB1" s="15" t="inlineStr">
        <is>
          <t>個人化SL(ATR)</t>
        </is>
      </c>
      <c r="AC1" s="15" t="inlineStr">
        <is>
          <t>目前量</t>
        </is>
      </c>
      <c r="AD1" s="15" t="inlineStr">
        <is>
          <t>平均量</t>
        </is>
      </c>
      <c r="AE1" s="15" t="inlineStr">
        <is>
          <t>量能狀態</t>
        </is>
      </c>
      <c r="AF1" s="15" t="inlineStr">
        <is>
          <t>最終訊號</t>
        </is>
      </c>
      <c r="AG1" t="inlineStr">
        <is>
          <t>K棒型態</t>
        </is>
      </c>
      <c r="AH1" t="inlineStr">
        <is>
          <t>進場建議</t>
        </is>
      </c>
      <c r="AI1" t="inlineStr">
        <is>
          <t>11指標綜合分數</t>
        </is>
      </c>
      <c r="AJ1" t="inlineStr">
        <is>
          <t>11指標綜合判定</t>
        </is>
      </c>
      <c r="AK1" t="inlineStr">
        <is>
          <t>更新時間</t>
        </is>
      </c>
      <c r="AL1" t="inlineStr">
        <is>
          <t>關鍵位測試</t>
        </is>
      </c>
      <c r="AM1" t="inlineStr">
        <is>
          <t>突破判斷</t>
        </is>
      </c>
    </row>
    <row r="2">
      <c r="A2" t="inlineStr">
        <is>
          <t>EURUSD</t>
        </is>
      </c>
      <c r="B2" t="n">
        <v>1.15972</v>
      </c>
      <c r="C2" t="n">
        <v>-0.1093894004254888</v>
      </c>
      <c r="D2" t="n">
        <v>1.15997</v>
      </c>
      <c r="E2" t="n">
        <v>1.16175</v>
      </c>
      <c r="F2" t="n">
        <v>1.15692</v>
      </c>
      <c r="G2" t="n">
        <v>1.16138</v>
      </c>
      <c r="H2" t="n">
        <v>1.15692</v>
      </c>
      <c r="I2" t="n">
        <v>1.16154</v>
      </c>
      <c r="J2" t="n">
        <v>1.15663</v>
      </c>
      <c r="K2" t="n">
        <v>1.16412</v>
      </c>
      <c r="L2" t="n">
        <v>1.15692</v>
      </c>
      <c r="M2" t="n">
        <v>1.16175</v>
      </c>
      <c r="N2" t="n">
        <v>1</v>
      </c>
      <c r="O2" t="n">
        <v>6</v>
      </c>
      <c r="P2" t="inlineStr">
        <is>
          <t>待確認</t>
        </is>
      </c>
      <c r="Q2" t="inlineStr">
        <is>
          <t>有效</t>
        </is>
      </c>
      <c r="R2" t="n">
        <v>1.159396666666667</v>
      </c>
      <c r="S2" t="n">
        <v>1.15950619047619</v>
      </c>
      <c r="T2" t="n">
        <v>1.159491393857723</v>
      </c>
      <c r="U2" t="n">
        <v>-0.002012500503119159</v>
      </c>
      <c r="V2" t="n">
        <v>4.106840268856943e-05</v>
      </c>
      <c r="W2" t="n">
        <v>0.001006368014849041</v>
      </c>
      <c r="X2" t="inlineStr">
        <is>
          <t>震盪糾結</t>
        </is>
      </c>
      <c r="Y2" t="inlineStr">
        <is>
          <t>震盪糾結</t>
        </is>
      </c>
      <c r="Z2" t="n">
        <v>0</v>
      </c>
      <c r="AA2" t="inlineStr">
        <is>
          <t>多空不明</t>
        </is>
      </c>
      <c r="AB2" t="n">
        <v>0.0002335714285714361</v>
      </c>
      <c r="AC2" t="n">
        <v>188</v>
      </c>
      <c r="AD2" t="n">
        <v>113.3</v>
      </c>
      <c r="AE2" t="inlineStr">
        <is>
          <t>放量</t>
        </is>
      </c>
      <c r="AF2" t="inlineStr">
        <is>
          <t>震盪</t>
        </is>
      </c>
      <c r="AG2" t="inlineStr">
        <is>
          <t>無明顯型態</t>
        </is>
      </c>
      <c r="AH2" t="inlineStr">
        <is>
          <t>觀望</t>
        </is>
      </c>
      <c r="AI2" t="n">
        <v>1.14</v>
      </c>
      <c r="AJ2" t="inlineStr">
        <is>
          <t>強力多頭</t>
        </is>
      </c>
      <c r="AK2" t="inlineStr">
        <is>
          <t>2026.09.12 19:09:58</t>
        </is>
      </c>
      <c r="AL2" t="inlineStr">
        <is>
          <t>亞盤低</t>
        </is>
      </c>
      <c r="AM2" t="inlineStr">
        <is>
          <t>確認突破</t>
        </is>
      </c>
    </row>
    <row r="3">
      <c r="A3" t="inlineStr">
        <is>
          <t>GBPUSD</t>
        </is>
      </c>
      <c r="B3" t="n">
        <v>1.35267</v>
      </c>
      <c r="C3" t="n">
        <v>0.125835510781145</v>
      </c>
      <c r="D3" t="n">
        <v>1.3493</v>
      </c>
      <c r="E3" t="n">
        <v>1.35164</v>
      </c>
      <c r="F3" t="n">
        <v>1.34761</v>
      </c>
      <c r="G3" t="n">
        <v>1.3529</v>
      </c>
      <c r="H3" t="n">
        <v>1.34761</v>
      </c>
      <c r="I3" t="n">
        <v>1.35347</v>
      </c>
      <c r="J3" t="n">
        <v>1.34743</v>
      </c>
      <c r="K3" t="n">
        <v>1.35653</v>
      </c>
      <c r="L3" t="n">
        <v>1.34761</v>
      </c>
      <c r="M3" t="n">
        <v>1.35347</v>
      </c>
      <c r="N3" t="n">
        <v>1</v>
      </c>
      <c r="O3" t="n">
        <v>2</v>
      </c>
      <c r="P3" t="inlineStr">
        <is>
          <t>待確認</t>
        </is>
      </c>
      <c r="Q3" t="inlineStr">
        <is>
          <t>有效</t>
        </is>
      </c>
      <c r="R3" t="n">
        <v>1.352488888888889</v>
      </c>
      <c r="S3" t="n">
        <v>1.35255380952381</v>
      </c>
      <c r="T3" t="n">
        <v>1.352498821212661</v>
      </c>
      <c r="U3" t="n">
        <v>-0.006571813491926903</v>
      </c>
      <c r="V3" t="n">
        <v>-0.0003168599042798628</v>
      </c>
      <c r="W3" t="n">
        <v>-0.0007053428774039869</v>
      </c>
      <c r="X3" t="inlineStr">
        <is>
          <t>震盪糾結</t>
        </is>
      </c>
      <c r="Y3" t="inlineStr">
        <is>
          <t>死亡交叉</t>
        </is>
      </c>
      <c r="Z3" t="n">
        <v>-4</v>
      </c>
      <c r="AA3" t="inlineStr">
        <is>
          <t>強力空頭</t>
        </is>
      </c>
      <c r="AB3" t="n">
        <v>0.0003064285714285329</v>
      </c>
      <c r="AC3" t="n">
        <v>212</v>
      </c>
      <c r="AD3" t="n">
        <v>240.9</v>
      </c>
      <c r="AE3" t="inlineStr">
        <is>
          <t>正常</t>
        </is>
      </c>
      <c r="AF3" t="inlineStr">
        <is>
          <t>強勢空</t>
        </is>
      </c>
      <c r="AG3" t="inlineStr">
        <is>
          <t>十字星</t>
        </is>
      </c>
      <c r="AH3" t="inlineStr">
        <is>
          <t>觀望</t>
        </is>
      </c>
      <c r="AI3" t="n">
        <v>0.48</v>
      </c>
      <c r="AJ3" t="inlineStr">
        <is>
          <t>偏多</t>
        </is>
      </c>
      <c r="AK3" t="inlineStr">
        <is>
          <t>2026.09.12 19:09:58</t>
        </is>
      </c>
      <c r="AL3" t="inlineStr">
        <is>
          <t>歐盤高</t>
        </is>
      </c>
      <c r="AM3" t="inlineStr">
        <is>
          <t>假突破機率高</t>
        </is>
      </c>
    </row>
    <row r="4">
      <c r="A4" t="inlineStr">
        <is>
          <t>USDJPY</t>
        </is>
      </c>
      <c r="B4" t="n">
        <v>153.483</v>
      </c>
      <c r="C4" t="n">
        <v>-0.5836097004870856</v>
      </c>
      <c r="D4" t="n">
        <v>154.206</v>
      </c>
      <c r="E4" t="n">
        <v>154.613</v>
      </c>
      <c r="F4" t="n">
        <v>153.237</v>
      </c>
      <c r="G4" t="n">
        <v>154.483</v>
      </c>
      <c r="H4" t="n">
        <v>153.237</v>
      </c>
      <c r="I4" t="n">
        <v>154.483</v>
      </c>
      <c r="J4" t="n">
        <v>155.288</v>
      </c>
      <c r="K4" t="n">
        <v>160.39</v>
      </c>
      <c r="L4" t="n">
        <v>153.237</v>
      </c>
      <c r="M4" t="n">
        <v>154.613</v>
      </c>
      <c r="N4" t="n">
        <v>1</v>
      </c>
      <c r="O4" t="n">
        <v>2</v>
      </c>
      <c r="P4" t="inlineStr">
        <is>
          <t>待確認</t>
        </is>
      </c>
      <c r="Q4" t="inlineStr">
        <is>
          <t>有效</t>
        </is>
      </c>
      <c r="R4" t="n">
        <v>153.6733333333333</v>
      </c>
      <c r="S4" t="n">
        <v>153.6911904761905</v>
      </c>
      <c r="T4" t="n">
        <v>153.682708334165</v>
      </c>
      <c r="U4" t="n">
        <v>-0.008458787270179237</v>
      </c>
      <c r="V4" t="n">
        <v>-0.009727900703527987</v>
      </c>
      <c r="W4" t="n">
        <v>-0.01204509527813365</v>
      </c>
      <c r="X4" t="inlineStr">
        <is>
          <t>空頭排列</t>
        </is>
      </c>
      <c r="Y4" t="inlineStr">
        <is>
          <t>空頭排列</t>
        </is>
      </c>
      <c r="Z4" t="n">
        <v>-4</v>
      </c>
      <c r="AA4" t="inlineStr">
        <is>
          <t>強力空頭</t>
        </is>
      </c>
      <c r="AB4" t="n">
        <v>0.04125000000000512</v>
      </c>
      <c r="AC4" t="n">
        <v>479</v>
      </c>
      <c r="AD4" t="n">
        <v>234.2</v>
      </c>
      <c r="AE4" t="inlineStr">
        <is>
          <t>放量</t>
        </is>
      </c>
      <c r="AF4" t="inlineStr">
        <is>
          <t>強勢空</t>
        </is>
      </c>
      <c r="AG4" t="inlineStr">
        <is>
          <t>看跌吞噬</t>
        </is>
      </c>
      <c r="AH4" t="inlineStr">
        <is>
          <t>觀望</t>
        </is>
      </c>
      <c r="AI4" t="n">
        <v>-1.535</v>
      </c>
      <c r="AJ4" t="inlineStr">
        <is>
          <t>強力空頭</t>
        </is>
      </c>
      <c r="AK4" t="inlineStr">
        <is>
          <t>2026.09.12 19:09:58</t>
        </is>
      </c>
      <c r="AM4" t="inlineStr">
        <is>
          <t>無測試關鍵位</t>
        </is>
      </c>
    </row>
    <row r="5">
      <c r="A5" t="inlineStr">
        <is>
          <t>USDCAD</t>
        </is>
      </c>
      <c r="B5" t="n">
        <v>1.3872</v>
      </c>
      <c r="C5" t="n">
        <v>0.3051381798724576</v>
      </c>
      <c r="D5" t="n">
        <v>1.38242</v>
      </c>
      <c r="E5" t="n">
        <v>1.38464</v>
      </c>
      <c r="F5" t="n">
        <v>1.38345</v>
      </c>
      <c r="G5" t="n">
        <v>1.3881</v>
      </c>
      <c r="H5" t="n">
        <v>1.38416</v>
      </c>
      <c r="I5" t="n">
        <v>1.38838</v>
      </c>
      <c r="J5" t="n">
        <v>1.37651</v>
      </c>
      <c r="K5" t="n">
        <v>1.39397</v>
      </c>
      <c r="L5" t="n">
        <v>1.38242</v>
      </c>
      <c r="M5" t="n">
        <v>1.38838</v>
      </c>
      <c r="N5" t="n">
        <v>3</v>
      </c>
      <c r="O5" t="n">
        <v>1</v>
      </c>
      <c r="P5" t="inlineStr">
        <is>
          <t>有效</t>
        </is>
      </c>
      <c r="Q5" t="inlineStr">
        <is>
          <t>待確認</t>
        </is>
      </c>
      <c r="R5" t="n">
        <v>1.3868</v>
      </c>
      <c r="S5" t="n">
        <v>1.386722380952381</v>
      </c>
      <c r="T5" t="n">
        <v>1.386744737147039</v>
      </c>
      <c r="U5" t="n">
        <v>0.01682813664443567</v>
      </c>
      <c r="V5" t="n">
        <v>0.006147108901356199</v>
      </c>
      <c r="W5" t="n">
        <v>0.00861746926565052</v>
      </c>
      <c r="X5" t="inlineStr">
        <is>
          <t>多頭排列</t>
        </is>
      </c>
      <c r="Y5" t="inlineStr">
        <is>
          <t>多頭排列</t>
        </is>
      </c>
      <c r="Z5" t="n">
        <v>4</v>
      </c>
      <c r="AA5" t="inlineStr">
        <is>
          <t>強力多頭</t>
        </is>
      </c>
      <c r="AB5" t="n">
        <v>0.0003428571428572003</v>
      </c>
      <c r="AC5" t="n">
        <v>165</v>
      </c>
      <c r="AD5" t="n">
        <v>165.85</v>
      </c>
      <c r="AE5" t="inlineStr">
        <is>
          <t>正常</t>
        </is>
      </c>
      <c r="AF5" t="inlineStr">
        <is>
          <t>強勢多</t>
        </is>
      </c>
      <c r="AG5" t="inlineStr">
        <is>
          <t>無明顯型態</t>
        </is>
      </c>
      <c r="AH5" t="inlineStr">
        <is>
          <t>觀望</t>
        </is>
      </c>
      <c r="AI5" t="n">
        <v>1.435</v>
      </c>
      <c r="AJ5" t="inlineStr">
        <is>
          <t>強力多頭</t>
        </is>
      </c>
      <c r="AK5" t="inlineStr">
        <is>
          <t>2026.09.12 19:09:58</t>
        </is>
      </c>
      <c r="AM5" t="inlineStr">
        <is>
          <t>無測試關鍵位</t>
        </is>
      </c>
    </row>
    <row r="6">
      <c r="A6" t="inlineStr">
        <is>
          <t>AUDUSD</t>
        </is>
      </c>
      <c r="B6" t="n">
        <v>0.71702</v>
      </c>
      <c r="C6" t="n">
        <v>0.1872345182204348</v>
      </c>
      <c r="D6" t="n">
        <v>0.71502</v>
      </c>
      <c r="E6" t="n">
        <v>0.71663</v>
      </c>
      <c r="F6" t="n">
        <v>0.71489</v>
      </c>
      <c r="G6" t="n">
        <v>0.71875</v>
      </c>
      <c r="H6" t="n">
        <v>0.71489</v>
      </c>
      <c r="I6" t="n">
        <v>0.71875</v>
      </c>
      <c r="J6" t="n">
        <v>0.71213</v>
      </c>
      <c r="K6" t="n">
        <v>0.72144</v>
      </c>
      <c r="L6" t="n">
        <v>0.71489</v>
      </c>
      <c r="M6" t="n">
        <v>0.71875</v>
      </c>
      <c r="N6" t="n">
        <v>1</v>
      </c>
      <c r="O6" t="n">
        <v>1</v>
      </c>
      <c r="P6" t="inlineStr">
        <is>
          <t>待確認</t>
        </is>
      </c>
      <c r="Q6" t="inlineStr">
        <is>
          <t>待確認</t>
        </is>
      </c>
      <c r="R6" t="n">
        <v>0.7169755555555555</v>
      </c>
      <c r="S6" t="n">
        <v>0.7171552380952381</v>
      </c>
      <c r="T6" t="n">
        <v>0.7170982448489345</v>
      </c>
      <c r="U6" t="n">
        <v>-0.01162154665742495</v>
      </c>
      <c r="V6" t="n">
        <v>-0.005643674337386665</v>
      </c>
      <c r="W6" t="n">
        <v>-0.005981952836299725</v>
      </c>
      <c r="X6" t="inlineStr">
        <is>
          <t>震盪糾結</t>
        </is>
      </c>
      <c r="Y6" t="inlineStr">
        <is>
          <t>震盪糾結</t>
        </is>
      </c>
      <c r="Z6" t="n">
        <v>-2</v>
      </c>
      <c r="AA6" t="inlineStr">
        <is>
          <t>偏空</t>
        </is>
      </c>
      <c r="AB6" t="n">
        <v>0.0001907142857143099</v>
      </c>
      <c r="AC6" t="n">
        <v>107</v>
      </c>
      <c r="AD6" t="n">
        <v>128.3</v>
      </c>
      <c r="AE6" t="inlineStr">
        <is>
          <t>正常</t>
        </is>
      </c>
      <c r="AF6" t="inlineStr">
        <is>
          <t>偏空</t>
        </is>
      </c>
      <c r="AG6" t="inlineStr">
        <is>
          <t>十字星</t>
        </is>
      </c>
      <c r="AH6" t="inlineStr">
        <is>
          <t>觀望</t>
        </is>
      </c>
      <c r="AI6" t="n">
        <v>-0.8600000000000001</v>
      </c>
      <c r="AJ6" t="inlineStr">
        <is>
          <t>偏空</t>
        </is>
      </c>
      <c r="AK6" t="inlineStr">
        <is>
          <t>2026.09.12 19:09:58</t>
        </is>
      </c>
      <c r="AM6" t="inlineStr">
        <is>
          <t>無測試關鍵位</t>
        </is>
      </c>
    </row>
    <row r="7">
      <c r="A7" t="inlineStr">
        <is>
          <t>NZDUSD</t>
        </is>
      </c>
      <c r="B7" t="n">
        <v>0.58127</v>
      </c>
      <c r="C7" t="n">
        <v>0.2310623695963319</v>
      </c>
      <c r="D7" t="n">
        <v>0.57922</v>
      </c>
      <c r="E7" t="n">
        <v>0.58292</v>
      </c>
      <c r="F7" t="n">
        <v>0.58009</v>
      </c>
      <c r="G7" t="n">
        <v>0.5835</v>
      </c>
      <c r="H7" t="n">
        <v>0.58009</v>
      </c>
      <c r="I7" t="n">
        <v>0.58291</v>
      </c>
      <c r="J7" t="n">
        <v>0.5802</v>
      </c>
      <c r="K7" t="n">
        <v>0.59288</v>
      </c>
      <c r="L7" t="n">
        <v>0.57922</v>
      </c>
      <c r="M7" t="n">
        <v>0.5835</v>
      </c>
      <c r="N7" t="n">
        <v>6</v>
      </c>
      <c r="O7" t="n">
        <v>3</v>
      </c>
      <c r="P7" t="inlineStr">
        <is>
          <t>有效</t>
        </is>
      </c>
      <c r="Q7" t="inlineStr">
        <is>
          <t>有效</t>
        </is>
      </c>
      <c r="R7" t="n">
        <v>0.5812122222222222</v>
      </c>
      <c r="S7" t="n">
        <v>0.5813095238095238</v>
      </c>
      <c r="T7" t="n">
        <v>0.581287344504309</v>
      </c>
      <c r="U7" t="n">
        <v>-0.007646268334329681</v>
      </c>
      <c r="V7" t="n">
        <v>-0.002703183121006458</v>
      </c>
      <c r="W7" t="n">
        <v>-0.004600100288579278</v>
      </c>
      <c r="X7" t="inlineStr">
        <is>
          <t>震盪糾結</t>
        </is>
      </c>
      <c r="Y7" t="inlineStr">
        <is>
          <t>震盪糾結</t>
        </is>
      </c>
      <c r="Z7" t="n">
        <v>-2</v>
      </c>
      <c r="AA7" t="inlineStr">
        <is>
          <t>偏空</t>
        </is>
      </c>
      <c r="AB7" t="n">
        <v>0.0001639285714285748</v>
      </c>
      <c r="AC7" t="n">
        <v>100</v>
      </c>
      <c r="AD7" t="n">
        <v>94.25</v>
      </c>
      <c r="AE7" t="inlineStr">
        <is>
          <t>正常</t>
        </is>
      </c>
      <c r="AF7" t="inlineStr">
        <is>
          <t>偏空</t>
        </is>
      </c>
      <c r="AG7" t="inlineStr">
        <is>
          <t>無明顯型態</t>
        </is>
      </c>
      <c r="AH7" t="inlineStr">
        <is>
          <t>觀望</t>
        </is>
      </c>
      <c r="AI7" t="n">
        <v>-0.595</v>
      </c>
      <c r="AJ7" t="inlineStr">
        <is>
          <t>偏空</t>
        </is>
      </c>
      <c r="AK7" t="inlineStr">
        <is>
          <t>2026.09.12 19:09:58</t>
        </is>
      </c>
      <c r="AM7" t="inlineStr">
        <is>
          <t>無測試關鍵位</t>
        </is>
      </c>
    </row>
    <row r="8">
      <c r="A8" t="inlineStr">
        <is>
          <t>USDCHF</t>
        </is>
      </c>
      <c r="B8" t="n">
        <v>0.8164400000000001</v>
      </c>
      <c r="C8" t="n">
        <v>0.4663754383806155</v>
      </c>
      <c r="D8" t="n">
        <v>0.81242</v>
      </c>
      <c r="E8" t="n">
        <v>0.8142</v>
      </c>
      <c r="F8" t="n">
        <v>0.8124400000000001</v>
      </c>
      <c r="G8" t="n">
        <v>0.81701</v>
      </c>
      <c r="H8" t="n">
        <v>0.81368</v>
      </c>
      <c r="I8" t="n">
        <v>0.81704</v>
      </c>
      <c r="J8" t="n">
        <v>0.80522</v>
      </c>
      <c r="K8" t="n">
        <v>0.81565</v>
      </c>
      <c r="L8" t="n">
        <v>0.81242</v>
      </c>
      <c r="M8" t="n">
        <v>0.81704</v>
      </c>
      <c r="N8" t="n">
        <v>4</v>
      </c>
      <c r="O8" t="n">
        <v>5</v>
      </c>
      <c r="P8" t="inlineStr">
        <is>
          <t>有效</t>
        </is>
      </c>
      <c r="Q8" t="inlineStr">
        <is>
          <t>有效</t>
        </is>
      </c>
      <c r="R8" t="n">
        <v>0.8166433333333334</v>
      </c>
      <c r="S8" t="n">
        <v>0.8166428571428571</v>
      </c>
      <c r="T8" t="n">
        <v>0.8166186321759227</v>
      </c>
      <c r="U8" t="n">
        <v>0.0005442361985137188</v>
      </c>
      <c r="V8" t="n">
        <v>-0.001282819777833729</v>
      </c>
      <c r="W8" t="n">
        <v>-0.0008482774204883108</v>
      </c>
      <c r="X8" t="inlineStr">
        <is>
          <t>震盪糾結</t>
        </is>
      </c>
      <c r="Y8" t="inlineStr">
        <is>
          <t>震盪糾結</t>
        </is>
      </c>
      <c r="Z8" t="n">
        <v>0</v>
      </c>
      <c r="AA8" t="inlineStr">
        <is>
          <t>多空不明</t>
        </is>
      </c>
      <c r="AB8" t="n">
        <v>0.0002357142857142597</v>
      </c>
      <c r="AC8" t="n">
        <v>450</v>
      </c>
      <c r="AD8" t="n">
        <v>124.3</v>
      </c>
      <c r="AE8" t="inlineStr">
        <is>
          <t>放量</t>
        </is>
      </c>
      <c r="AF8" t="inlineStr">
        <is>
          <t>震盪</t>
        </is>
      </c>
      <c r="AG8" t="inlineStr">
        <is>
          <t>無明顯型態</t>
        </is>
      </c>
      <c r="AH8" t="inlineStr">
        <is>
          <t>觀望</t>
        </is>
      </c>
      <c r="AI8" t="n">
        <v>-1.24</v>
      </c>
      <c r="AJ8" t="inlineStr">
        <is>
          <t>強力空頭</t>
        </is>
      </c>
      <c r="AK8" t="inlineStr">
        <is>
          <t>2026.09.12 19:09:58</t>
        </is>
      </c>
      <c r="AM8" t="inlineStr">
        <is>
          <t>無測試關鍵位</t>
        </is>
      </c>
    </row>
    <row r="9">
      <c r="A9" t="inlineStr">
        <is>
          <t>USDCNH</t>
        </is>
      </c>
      <c r="B9" t="n">
        <v>4347.45</v>
      </c>
      <c r="C9" t="n">
        <v>0.5900114531635027</v>
      </c>
      <c r="D9" t="n">
        <v>4300.69</v>
      </c>
      <c r="E9" t="n">
        <v>4340.19</v>
      </c>
      <c r="F9" t="n">
        <v>4288.16</v>
      </c>
      <c r="G9" t="n">
        <v>4393.25</v>
      </c>
      <c r="H9" t="n">
        <v>4288.16</v>
      </c>
      <c r="I9" t="n">
        <v>4402.32</v>
      </c>
      <c r="J9" t="n">
        <v>4282.4</v>
      </c>
      <c r="K9" t="n">
        <v>4510.65</v>
      </c>
      <c r="L9" t="n">
        <v>4288.16</v>
      </c>
      <c r="M9" t="n">
        <v>4402.32</v>
      </c>
      <c r="N9" t="n">
        <v>1</v>
      </c>
      <c r="O9" t="n">
        <v>2</v>
      </c>
      <c r="P9" t="inlineStr">
        <is>
          <t>待確認</t>
        </is>
      </c>
      <c r="Q9" t="inlineStr">
        <is>
          <t>有效</t>
        </is>
      </c>
      <c r="R9" t="n">
        <v>4348.38</v>
      </c>
      <c r="S9" t="n">
        <v>4347.981904761905</v>
      </c>
      <c r="T9" t="n">
        <v>4348.540804927511</v>
      </c>
      <c r="U9" t="n">
        <v>0.0002299712306040718</v>
      </c>
      <c r="V9" t="n">
        <v>0.003176177529460578</v>
      </c>
      <c r="W9" t="n">
        <v>-0.008545962566718796</v>
      </c>
      <c r="X9" t="inlineStr">
        <is>
          <t>空頭排列</t>
        </is>
      </c>
      <c r="Y9" t="inlineStr">
        <is>
          <t>空頭排列</t>
        </is>
      </c>
      <c r="Z9" t="n">
        <v>-2</v>
      </c>
      <c r="AA9" t="inlineStr">
        <is>
          <t>偏空</t>
        </is>
      </c>
      <c r="AB9" t="n">
        <v>3.78964285714265</v>
      </c>
      <c r="AC9" t="n">
        <v>316</v>
      </c>
      <c r="AD9" t="n">
        <v>627.05</v>
      </c>
      <c r="AE9" t="inlineStr">
        <is>
          <t>縮量</t>
        </is>
      </c>
      <c r="AF9" t="inlineStr">
        <is>
          <t>偏空</t>
        </is>
      </c>
      <c r="AG9" t="inlineStr">
        <is>
          <t>無明顯型態</t>
        </is>
      </c>
      <c r="AH9" t="inlineStr">
        <is>
          <t>觀望</t>
        </is>
      </c>
      <c r="AI9" t="n">
        <v>-0.335</v>
      </c>
      <c r="AJ9" t="inlineStr">
        <is>
          <t>偏空</t>
        </is>
      </c>
      <c r="AK9" t="inlineStr">
        <is>
          <t>2026.09.12 19:09:58</t>
        </is>
      </c>
      <c r="AM9" t="inlineStr">
        <is>
          <t>無測試關鍵位</t>
        </is>
      </c>
    </row>
    <row r="10">
      <c r="A10" t="inlineStr">
        <is>
          <t>US500.cash</t>
        </is>
      </c>
      <c r="B10" t="n">
        <v>7655.15</v>
      </c>
      <c r="C10" t="n">
        <v>0.7610568449705318</v>
      </c>
      <c r="D10" t="n">
        <v>7589.4</v>
      </c>
      <c r="E10" t="n">
        <v>7611.1</v>
      </c>
      <c r="F10" t="n">
        <v>7605.6</v>
      </c>
      <c r="G10" t="n">
        <v>7678.35</v>
      </c>
      <c r="H10" t="n">
        <v>7616.2</v>
      </c>
      <c r="I10" t="n">
        <v>7678.35</v>
      </c>
      <c r="J10" t="n">
        <v>7608.85</v>
      </c>
      <c r="K10" t="n">
        <v>7756.25</v>
      </c>
      <c r="L10" t="n">
        <v>7586.15</v>
      </c>
      <c r="M10" t="n">
        <v>7678.35</v>
      </c>
      <c r="N10" t="n">
        <v>1</v>
      </c>
      <c r="O10" t="n">
        <v>1</v>
      </c>
      <c r="P10" t="inlineStr">
        <is>
          <t>待確認</t>
        </is>
      </c>
      <c r="Q10" t="inlineStr">
        <is>
          <t>待確認</t>
        </is>
      </c>
      <c r="R10" t="n">
        <v>7656.072222222221</v>
      </c>
      <c r="S10" t="n">
        <v>7658.627619047618</v>
      </c>
      <c r="T10" t="n">
        <v>7658.593141247151</v>
      </c>
      <c r="U10" t="n">
        <v>-0.001349672987310151</v>
      </c>
      <c r="V10" t="n">
        <v>-0.0139878677317276</v>
      </c>
      <c r="W10" t="n">
        <v>-0.01165456498869557</v>
      </c>
      <c r="X10" t="inlineStr">
        <is>
          <t>空頭排列</t>
        </is>
      </c>
      <c r="Y10" t="inlineStr">
        <is>
          <t>空頭排列</t>
        </is>
      </c>
      <c r="Z10" t="n">
        <v>-4</v>
      </c>
      <c r="AA10" t="inlineStr">
        <is>
          <t>強力空頭</t>
        </is>
      </c>
      <c r="AB10" t="n">
        <v>3.385714285714325</v>
      </c>
      <c r="AC10" t="n">
        <v>46</v>
      </c>
      <c r="AD10" t="n">
        <v>118.45</v>
      </c>
      <c r="AE10" t="inlineStr">
        <is>
          <t>縮量</t>
        </is>
      </c>
      <c r="AF10" t="inlineStr">
        <is>
          <t>強勢空</t>
        </is>
      </c>
      <c r="AG10" t="inlineStr">
        <is>
          <t>昏星(3根反轉)</t>
        </is>
      </c>
      <c r="AH10" t="inlineStr">
        <is>
          <t>觀望</t>
        </is>
      </c>
      <c r="AI10" t="n">
        <v>-1.1</v>
      </c>
      <c r="AJ10" t="inlineStr">
        <is>
          <t>強力空頭</t>
        </is>
      </c>
      <c r="AK10" t="inlineStr">
        <is>
          <t>2026.09.12 19:09:58</t>
        </is>
      </c>
      <c r="AM10" t="inlineStr">
        <is>
          <t>無測試關鍵位</t>
        </is>
      </c>
    </row>
    <row r="11">
      <c r="A11" t="inlineStr">
        <is>
          <t>US30.cash</t>
        </is>
      </c>
      <c r="B11" t="n">
        <v>52548.13</v>
      </c>
      <c r="C11" t="n">
        <v>0.9561880660736081</v>
      </c>
      <c r="D11" t="n">
        <v>52043.93</v>
      </c>
      <c r="E11" t="n">
        <v>52230.56</v>
      </c>
      <c r="F11" t="n">
        <v>52189.16</v>
      </c>
      <c r="G11" t="n">
        <v>52640.66</v>
      </c>
      <c r="H11" t="n">
        <v>52249.17</v>
      </c>
      <c r="I11" t="n">
        <v>52708.85</v>
      </c>
      <c r="J11" t="n">
        <v>52661.36</v>
      </c>
      <c r="K11" t="n">
        <v>53757.95</v>
      </c>
      <c r="L11" t="n">
        <v>51957.75</v>
      </c>
      <c r="M11" t="n">
        <v>52708.85</v>
      </c>
      <c r="N11" t="n">
        <v>1</v>
      </c>
      <c r="O11" t="n">
        <v>1</v>
      </c>
      <c r="P11" t="inlineStr">
        <is>
          <t>待確認</t>
        </is>
      </c>
      <c r="Q11" t="inlineStr">
        <is>
          <t>待確認</t>
        </is>
      </c>
      <c r="R11" t="n">
        <v>52559.78999999999</v>
      </c>
      <c r="S11" t="n">
        <v>52565.56714285714</v>
      </c>
      <c r="T11" t="n">
        <v>52567.42346583786</v>
      </c>
      <c r="U11" t="n">
        <v>-0.006713596027596262</v>
      </c>
      <c r="V11" t="n">
        <v>-0.006310087996380597</v>
      </c>
      <c r="W11" t="n">
        <v>-0.008476275198798202</v>
      </c>
      <c r="X11" t="inlineStr">
        <is>
          <t>空頭排列</t>
        </is>
      </c>
      <c r="Y11" t="inlineStr">
        <is>
          <t>空頭排列</t>
        </is>
      </c>
      <c r="Z11" t="n">
        <v>-4</v>
      </c>
      <c r="AA11" t="inlineStr">
        <is>
          <t>強力空頭</t>
        </is>
      </c>
      <c r="AB11" t="n">
        <v>24.06428571428634</v>
      </c>
      <c r="AC11" t="n">
        <v>154</v>
      </c>
      <c r="AD11" t="n">
        <v>381.4</v>
      </c>
      <c r="AE11" t="inlineStr">
        <is>
          <t>縮量</t>
        </is>
      </c>
      <c r="AF11" t="inlineStr">
        <is>
          <t>強勢空</t>
        </is>
      </c>
      <c r="AG11" t="inlineStr">
        <is>
          <t>看漲針線</t>
        </is>
      </c>
      <c r="AH11" t="inlineStr">
        <is>
          <t>觀望</t>
        </is>
      </c>
      <c r="AI11" t="n">
        <v>-1.535</v>
      </c>
      <c r="AJ11" t="inlineStr">
        <is>
          <t>強力空頭</t>
        </is>
      </c>
      <c r="AK11" t="inlineStr">
        <is>
          <t>2026.09.12 19:09:58</t>
        </is>
      </c>
      <c r="AM11" t="inlineStr">
        <is>
          <t>無測試關鍵位</t>
        </is>
      </c>
    </row>
    <row r="12">
      <c r="A12" t="inlineStr">
        <is>
          <t>US100.cash</t>
        </is>
      </c>
      <c r="B12" t="n">
        <v>29363.44</v>
      </c>
      <c r="C12" t="n">
        <v>0.8233860877280424</v>
      </c>
      <c r="D12" t="n">
        <v>29016.53</v>
      </c>
      <c r="E12" t="n">
        <v>29146.13</v>
      </c>
      <c r="F12" t="n">
        <v>29095.13</v>
      </c>
      <c r="G12" t="n">
        <v>29475.13</v>
      </c>
      <c r="H12" t="n">
        <v>29186.68</v>
      </c>
      <c r="I12" t="n">
        <v>29475.13</v>
      </c>
      <c r="J12" t="n">
        <v>28878.53</v>
      </c>
      <c r="K12" t="n">
        <v>29648.28</v>
      </c>
      <c r="L12" t="n">
        <v>29016.53</v>
      </c>
      <c r="M12" t="n">
        <v>29475.13</v>
      </c>
      <c r="N12" t="n">
        <v>1</v>
      </c>
      <c r="O12" t="n">
        <v>1</v>
      </c>
      <c r="P12" t="inlineStr">
        <is>
          <t>待確認</t>
        </is>
      </c>
      <c r="Q12" t="inlineStr">
        <is>
          <t>待確認</t>
        </is>
      </c>
      <c r="R12" t="n">
        <v>29362.46222222222</v>
      </c>
      <c r="S12" t="n">
        <v>29376.63476190476</v>
      </c>
      <c r="T12" t="n">
        <v>29376.38368312597</v>
      </c>
      <c r="U12" t="n">
        <v>-0.002830442422354375</v>
      </c>
      <c r="V12" t="n">
        <v>-0.01804963755671772</v>
      </c>
      <c r="W12" t="n">
        <v>-0.01153636928992683</v>
      </c>
      <c r="X12" t="inlineStr">
        <is>
          <t>震盪糾結</t>
        </is>
      </c>
      <c r="Y12" t="inlineStr">
        <is>
          <t>震盪糾結</t>
        </is>
      </c>
      <c r="Z12" t="n">
        <v>-2</v>
      </c>
      <c r="AA12" t="inlineStr">
        <is>
          <t>偏空</t>
        </is>
      </c>
      <c r="AB12" t="n">
        <v>17.77714285714306</v>
      </c>
      <c r="AC12" t="n">
        <v>444</v>
      </c>
      <c r="AD12" t="n">
        <v>1059.7</v>
      </c>
      <c r="AE12" t="inlineStr">
        <is>
          <t>縮量</t>
        </is>
      </c>
      <c r="AF12" t="inlineStr">
        <is>
          <t>偏空</t>
        </is>
      </c>
      <c r="AG12" t="inlineStr">
        <is>
          <t>無明顯型態</t>
        </is>
      </c>
      <c r="AH12" t="inlineStr">
        <is>
          <t>觀望</t>
        </is>
      </c>
      <c r="AI12" t="n">
        <v>-0.8475</v>
      </c>
      <c r="AJ12" t="inlineStr">
        <is>
          <t>偏空</t>
        </is>
      </c>
      <c r="AK12" t="inlineStr">
        <is>
          <t>2026.09.12 19:09:58</t>
        </is>
      </c>
      <c r="AM12" t="inlineStr">
        <is>
          <t>無測試關鍵位</t>
        </is>
      </c>
    </row>
    <row r="13">
      <c r="A13" t="inlineStr">
        <is>
          <t>JP225.cash</t>
        </is>
      </c>
      <c r="B13" t="n">
        <v>64695.5</v>
      </c>
      <c r="C13" t="n">
        <v>0.9897685721707125</v>
      </c>
      <c r="D13" t="n">
        <v>63059</v>
      </c>
      <c r="E13" t="n">
        <v>64077</v>
      </c>
      <c r="F13" t="n">
        <v>63703</v>
      </c>
      <c r="G13" t="n">
        <v>64733.5</v>
      </c>
      <c r="H13" t="n">
        <v>64135.5</v>
      </c>
      <c r="I13" t="n">
        <v>64926</v>
      </c>
      <c r="J13" t="n">
        <v>63692</v>
      </c>
      <c r="K13" t="n">
        <v>66534</v>
      </c>
      <c r="L13" t="n">
        <v>63059</v>
      </c>
      <c r="M13" t="n">
        <v>64926</v>
      </c>
      <c r="N13" t="n">
        <v>1</v>
      </c>
      <c r="O13" t="n">
        <v>1</v>
      </c>
      <c r="P13" t="inlineStr">
        <is>
          <t>待確認</t>
        </is>
      </c>
      <c r="Q13" t="inlineStr">
        <is>
          <t>待確認</t>
        </is>
      </c>
      <c r="R13" t="n">
        <v>64705.27777777778</v>
      </c>
      <c r="S13" t="n">
        <v>64716</v>
      </c>
      <c r="T13" t="n">
        <v>64716.8376840564</v>
      </c>
      <c r="U13" t="n">
        <v>-0.0172547592231372</v>
      </c>
      <c r="V13" t="n">
        <v>-0.0007358102669083516</v>
      </c>
      <c r="W13" t="n">
        <v>-0.008517572961598295</v>
      </c>
      <c r="X13" t="inlineStr">
        <is>
          <t>空頭排列</t>
        </is>
      </c>
      <c r="Y13" t="inlineStr">
        <is>
          <t>空頭排列</t>
        </is>
      </c>
      <c r="Z13" t="n">
        <v>-4</v>
      </c>
      <c r="AA13" t="inlineStr">
        <is>
          <t>強力空頭</t>
        </is>
      </c>
      <c r="AB13" t="n">
        <v>49.125</v>
      </c>
      <c r="AC13" t="n">
        <v>29</v>
      </c>
      <c r="AD13" t="n">
        <v>106.85</v>
      </c>
      <c r="AE13" t="inlineStr">
        <is>
          <t>縮量</t>
        </is>
      </c>
      <c r="AF13" t="inlineStr">
        <is>
          <t>強勢空</t>
        </is>
      </c>
      <c r="AG13" t="inlineStr">
        <is>
          <t>看跌吞噬</t>
        </is>
      </c>
      <c r="AH13" t="inlineStr">
        <is>
          <t>觀望</t>
        </is>
      </c>
      <c r="AI13" t="n">
        <v>-1.2825</v>
      </c>
      <c r="AJ13" t="inlineStr">
        <is>
          <t>強力空頭</t>
        </is>
      </c>
      <c r="AK13" t="inlineStr">
        <is>
          <t>2026.09.12 19:09:58</t>
        </is>
      </c>
      <c r="AM13" t="inlineStr">
        <is>
          <t>無測試關鍵位</t>
        </is>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E12"/>
  <sheetViews>
    <sheetView workbookViewId="0">
      <pane ySplit="1" topLeftCell="A2" activePane="bottomLeft" state="frozen"/>
      <selection pane="bottomLeft" activeCell="A1" sqref="A1"/>
    </sheetView>
  </sheetViews>
  <sheetFormatPr baseColWidth="8" defaultRowHeight="15"/>
  <cols>
    <col width="11.7109375" customWidth="1" min="1" max="1"/>
    <col width="12.7109375" customWidth="1" min="2" max="2"/>
    <col width="16.7109375" customWidth="1" min="18" max="18"/>
    <col width="12.7109375" customWidth="1" min="19" max="19"/>
    <col width="14.7109375" customWidth="1" min="22" max="22"/>
    <col width="10.7109375" customWidth="1" min="23" max="23"/>
    <col width="14.7109375" customWidth="1" min="24" max="24"/>
    <col width="12.7109375" customWidth="1" min="25" max="25"/>
    <col width="14.7109375" customWidth="1" min="27" max="27"/>
    <col width="18.7109375" customWidth="1" min="28" max="28"/>
    <col width="38.7109375" customWidth="1" min="30" max="30"/>
    <col width="20.7109375" customWidth="1" min="31" max="31"/>
  </cols>
  <sheetData>
    <row r="1" ht="32.1" customHeight="1">
      <c r="A1" s="13" t="inlineStr">
        <is>
          <t>8 大商品 MT5 即時交易分析與極限防線監控</t>
        </is>
      </c>
    </row>
    <row r="2">
      <c r="A2" s="14" t="inlineStr">
        <is>
          <t>支撐壓力＋均線趨勢＋成交量三大核心判斷</t>
        </is>
      </c>
    </row>
    <row r="3">
      <c r="A3" t="inlineStr">
        <is>
          <t>最後更新時間：尚未更新</t>
        </is>
      </c>
    </row>
    <row r="4" ht="42" customHeight="1">
      <c r="A4" s="15" t="inlineStr">
        <is>
          <t>商品</t>
        </is>
      </c>
      <c r="B4" s="15" t="inlineStr">
        <is>
          <t>即時 Bid</t>
        </is>
      </c>
      <c r="C4" s="15" t="inlineStr">
        <is>
          <t>週支撐</t>
        </is>
      </c>
      <c r="D4" s="15" t="inlineStr">
        <is>
          <t>週壓力</t>
        </is>
      </c>
      <c r="E4" s="15" t="inlineStr">
        <is>
          <t>近支撐</t>
        </is>
      </c>
      <c r="F4" s="15" t="inlineStr">
        <is>
          <t>近壓力</t>
        </is>
      </c>
      <c r="G4" s="15" t="inlineStr">
        <is>
          <t>短MA</t>
        </is>
      </c>
      <c r="H4" s="15" t="inlineStr">
        <is>
          <t>長MA</t>
        </is>
      </c>
      <c r="I4" s="15" t="inlineStr">
        <is>
          <t>EMA</t>
        </is>
      </c>
      <c r="J4" s="15" t="inlineStr">
        <is>
          <t>短MA斜率%</t>
        </is>
      </c>
      <c r="K4" s="15" t="inlineStr">
        <is>
          <t>長MA斜率%</t>
        </is>
      </c>
      <c r="L4" s="15" t="inlineStr">
        <is>
          <t>EMA斜率%</t>
        </is>
      </c>
      <c r="M4" s="15" t="inlineStr">
        <is>
          <t>均線排列</t>
        </is>
      </c>
      <c r="N4" s="15" t="inlineStr">
        <is>
          <t>交叉狀態</t>
        </is>
      </c>
      <c r="O4" s="15" t="inlineStr">
        <is>
          <t>趨勢分數</t>
        </is>
      </c>
      <c r="P4" s="15" t="inlineStr">
        <is>
          <t>趨勢判定</t>
        </is>
      </c>
      <c r="Q4" s="15" t="inlineStr">
        <is>
          <t>個人化SL(ATR)</t>
        </is>
      </c>
      <c r="R4" s="15" t="inlineStr">
        <is>
          <t>目前量</t>
        </is>
      </c>
      <c r="S4" s="15" t="inlineStr">
        <is>
          <t>平均量</t>
        </is>
      </c>
      <c r="T4" s="15" t="inlineStr">
        <is>
          <t>量能狀態</t>
        </is>
      </c>
      <c r="U4" s="15" t="inlineStr">
        <is>
          <t>最終訊號</t>
        </is>
      </c>
      <c r="V4" s="15" t="inlineStr">
        <is>
          <t>M15多頭票</t>
        </is>
      </c>
      <c r="W4" s="15" t="inlineStr">
        <is>
          <t>M15空頭票</t>
        </is>
      </c>
      <c r="X4" s="15" t="inlineStr">
        <is>
          <t>M15共振狀態</t>
        </is>
      </c>
      <c r="Y4" s="15" t="inlineStr">
        <is>
          <t>H1多頭票</t>
        </is>
      </c>
      <c r="Z4" s="15" t="inlineStr">
        <is>
          <t>H1空頭票</t>
        </is>
      </c>
      <c r="AA4" s="15" t="inlineStr">
        <is>
          <t>H1共振狀態</t>
        </is>
      </c>
      <c r="AB4" s="15" t="inlineStr">
        <is>
          <t>更新時間</t>
        </is>
      </c>
    </row>
    <row r="5" ht="54.95" customHeight="1">
      <c r="A5" t="inlineStr">
        <is>
          <t>EURUSD</t>
        </is>
      </c>
      <c r="B5" s="16" t="n">
        <v>1.1637</v>
      </c>
      <c r="C5" s="16" t="n">
        <v>1.13533</v>
      </c>
      <c r="D5" s="16" t="n">
        <v>1.17113</v>
      </c>
      <c r="E5" s="16" t="n">
        <v>1.16115</v>
      </c>
      <c r="F5" s="16">
        <f>IF(D5="","",D5-B5)</f>
        <v/>
      </c>
      <c r="G5" s="16">
        <f>IF(C5="","",B5-C5)</f>
        <v/>
      </c>
      <c r="H5" s="16" t="n">
        <v>0.0095</v>
      </c>
      <c r="I5" t="inlineStr">
        <is>
          <t>【強勁空頭】均線斜率向下共振</t>
        </is>
      </c>
      <c r="J5" t="inlineStr">
        <is>
          <t>【區間運行】未挑戰關鍵支撐壓力</t>
        </is>
      </c>
      <c r="K5" t="inlineStr">
        <is>
          <t>【盤整策略】高拋低吸，依據個人 SL 防守</t>
        </is>
      </c>
      <c r="L5" t="inlineStr">
        <is>
          <t>? 持續監控</t>
        </is>
      </c>
    </row>
    <row r="6" ht="54.95" customHeight="1">
      <c r="A6" t="inlineStr">
        <is>
          <t>GBPUSD</t>
        </is>
      </c>
      <c r="B6" s="16" t="n">
        <v>1.35444</v>
      </c>
      <c r="C6" s="16" t="n">
        <v>1.32733</v>
      </c>
      <c r="D6" s="16" t="n">
        <v>1.36754</v>
      </c>
      <c r="E6" s="16" t="n">
        <v>1.35086</v>
      </c>
      <c r="F6" s="16">
        <f>IF(D6="","",D6-B6)</f>
        <v/>
      </c>
      <c r="G6" s="16">
        <f>IF(C6="","",B6-C6)</f>
        <v/>
      </c>
      <c r="H6" s="16" t="n">
        <v>0.012</v>
      </c>
      <c r="I6" t="inlineStr">
        <is>
          <t>【強勁空頭】均線斜率向下共振</t>
        </is>
      </c>
      <c r="J6" t="inlineStr">
        <is>
          <t>【區間運行】未挑戰關鍵支撐壓力</t>
        </is>
      </c>
      <c r="K6" t="inlineStr">
        <is>
          <t>【盤整策略】高拋低吸，依據個人 SL 防守</t>
        </is>
      </c>
      <c r="L6" t="inlineStr">
        <is>
          <t>? 持續監控</t>
        </is>
      </c>
    </row>
    <row r="7" ht="54.95" customHeight="1">
      <c r="A7" t="inlineStr">
        <is>
          <t>USDJPY</t>
        </is>
      </c>
      <c r="B7" s="18" t="n">
        <v>155.418</v>
      </c>
      <c r="C7" s="18" t="n">
        <v>155.227</v>
      </c>
      <c r="D7" s="18" t="n">
        <v>163.948</v>
      </c>
      <c r="E7" s="18" t="n">
        <v>156.252</v>
      </c>
      <c r="F7" s="18">
        <f>IF(D7="","",D7-B7)</f>
        <v/>
      </c>
      <c r="G7" s="18">
        <f>IF(C7="","",B7-C7)</f>
        <v/>
      </c>
      <c r="H7" s="18" t="n">
        <v>1.1</v>
      </c>
      <c r="I7" t="inlineStr">
        <is>
          <t>【強勁多頭】均線斜率向上共振</t>
        </is>
      </c>
      <c r="J7" t="inlineStr">
        <is>
          <t>【區間運行】未挑戰關鍵支撐壓力</t>
        </is>
      </c>
      <c r="K7" t="inlineStr">
        <is>
          <t>【盤整策略】高拋低吸，依據個人 SL 防守</t>
        </is>
      </c>
      <c r="L7" t="inlineStr">
        <is>
          <t>? 持續監控</t>
        </is>
      </c>
    </row>
    <row r="8" ht="54.95" customHeight="1">
      <c r="A8" t="inlineStr">
        <is>
          <t>USDCAD</t>
        </is>
      </c>
      <c r="B8" s="16" t="n">
        <v>1.37799</v>
      </c>
      <c r="C8" s="16" t="n">
        <v>1.3732</v>
      </c>
      <c r="D8" s="16" t="n">
        <v>1.41287</v>
      </c>
      <c r="E8" s="16" t="n">
        <v>1.38064</v>
      </c>
      <c r="F8" s="16">
        <f>IF(D8="","",D8-B8)</f>
        <v/>
      </c>
      <c r="G8" s="16">
        <f>IF(C8="","",B8-C8)</f>
        <v/>
      </c>
      <c r="H8" s="16" t="n">
        <v>0.008500000000000001</v>
      </c>
      <c r="I8" t="inlineStr">
        <is>
          <t>【強勁多頭】均線斜率向上共振</t>
        </is>
      </c>
      <c r="J8" t="inlineStr">
        <is>
          <t>【區間運行】未挑戰關鍵支撐壓力</t>
        </is>
      </c>
      <c r="K8" t="inlineStr">
        <is>
          <t>【盤整策略】高拋低吸，依據個人 SL 防守</t>
        </is>
      </c>
      <c r="L8" t="inlineStr">
        <is>
          <t>? 持續監控</t>
        </is>
      </c>
    </row>
    <row r="9" ht="54.95" customHeight="1">
      <c r="A9" t="inlineStr">
        <is>
          <t>AUDUSD</t>
        </is>
      </c>
      <c r="B9" s="16" t="n">
        <v>0.72067</v>
      </c>
      <c r="C9" s="16" t="n">
        <v>0.69221</v>
      </c>
      <c r="D9" s="16" t="n">
        <v>0.72079</v>
      </c>
      <c r="E9" s="16" t="n">
        <v>0.71871</v>
      </c>
      <c r="F9" s="16">
        <f>IF(D9="","",D9-B9)</f>
        <v/>
      </c>
      <c r="G9" s="16">
        <f>IF(C9="","",B9-C9)</f>
        <v/>
      </c>
      <c r="H9" s="16" t="n">
        <v>0.008</v>
      </c>
      <c r="I9" t="inlineStr">
        <is>
          <t>【強勁空頭】均線斜率向下共振</t>
        </is>
      </c>
      <c r="J9" t="inlineStr">
        <is>
          <t>【區間運行】未挑戰關鍵支撐壓力</t>
        </is>
      </c>
      <c r="K9" t="inlineStr">
        <is>
          <t>【盤整策略】高拋低吸，依據個人 SL 防守</t>
        </is>
      </c>
      <c r="L9" t="inlineStr">
        <is>
          <t>? 持續監控</t>
        </is>
      </c>
    </row>
    <row r="10" ht="54.95" customHeight="1">
      <c r="A10" t="inlineStr">
        <is>
          <t>NZDUSD</t>
        </is>
      </c>
      <c r="B10" s="16" t="n">
        <v>0.58868</v>
      </c>
      <c r="C10" s="16" t="n">
        <v>0.57617</v>
      </c>
      <c r="D10" s="16" t="n">
        <v>0.59879</v>
      </c>
      <c r="E10" s="16" t="n">
        <v>0.5870300000000001</v>
      </c>
      <c r="F10" s="16">
        <f>IF(D10="","",D10-B10)</f>
        <v/>
      </c>
      <c r="G10" s="16">
        <f>IF(C10="","",B10-C10)</f>
        <v/>
      </c>
      <c r="H10" s="16" t="n">
        <v>0.0075</v>
      </c>
      <c r="I10" t="inlineStr">
        <is>
          <t>【強勁空頭】均線斜率向下共振</t>
        </is>
      </c>
      <c r="J10" t="inlineStr">
        <is>
          <t>【區間運行】未挑戰關鍵支撐壓力</t>
        </is>
      </c>
      <c r="K10" t="inlineStr">
        <is>
          <t>【盤整策略】高拋低吸，依據個人 SL 防守</t>
        </is>
      </c>
      <c r="L10" t="inlineStr">
        <is>
          <t>? 持續監控</t>
        </is>
      </c>
    </row>
    <row r="11" ht="54.95" customHeight="1">
      <c r="A11" t="inlineStr">
        <is>
          <t>USDCHF</t>
        </is>
      </c>
      <c r="B11" s="16" t="n">
        <v>0.80623</v>
      </c>
      <c r="C11" s="16" t="n">
        <v>0.79495</v>
      </c>
      <c r="D11" s="16" t="n">
        <v>0.82067</v>
      </c>
      <c r="E11" s="16" t="n">
        <v>0.80901</v>
      </c>
      <c r="F11" s="16">
        <f>IF(D11="","",D11-B11)</f>
        <v/>
      </c>
      <c r="G11" s="16">
        <f>IF(C11="","",B11-C11)</f>
        <v/>
      </c>
      <c r="H11" s="16" t="n">
        <v>0.01</v>
      </c>
      <c r="I11" t="inlineStr">
        <is>
          <t>【強勁多頭】均線斜率向上共振</t>
        </is>
      </c>
      <c r="J11" t="inlineStr">
        <is>
          <t>【區間運行】未挑戰關鍵支撐壓力</t>
        </is>
      </c>
      <c r="K11" t="inlineStr">
        <is>
          <t>【盤整策略】高拋低吸，依據個人 SL 防守</t>
        </is>
      </c>
      <c r="L11" t="inlineStr">
        <is>
          <t>? 持續監控</t>
        </is>
      </c>
    </row>
    <row r="12" ht="54.95" customHeight="1">
      <c r="A12" t="inlineStr">
        <is>
          <t>XAUUSD</t>
        </is>
      </c>
      <c r="B12" s="18" t="n">
        <v>4493.07</v>
      </c>
      <c r="C12" s="18" t="n">
        <v>3995.83</v>
      </c>
      <c r="D12" s="18" t="n">
        <v>4696.6</v>
      </c>
      <c r="E12" s="18" t="n">
        <v>4445.39</v>
      </c>
      <c r="F12" s="18">
        <f>IF(D12="","",D12-B12)</f>
        <v/>
      </c>
      <c r="G12" s="18">
        <f>IF(C12="","",B12-C12)</f>
        <v/>
      </c>
      <c r="H12" s="18" t="n">
        <v>19</v>
      </c>
      <c r="I12" t="inlineStr">
        <is>
          <t>【強勁空頭】均線斜率向下共振</t>
        </is>
      </c>
      <c r="J12" t="inlineStr">
        <is>
          <t>【區間運行】未挑戰關鍵支撐壓力</t>
        </is>
      </c>
      <c r="K12" t="inlineStr">
        <is>
          <t>【盤整策略】高拋低吸，依據個人 SL 防守</t>
        </is>
      </c>
      <c r="L12" t="inlineStr">
        <is>
          <t>? 持續監控</t>
        </is>
      </c>
    </row>
  </sheetData>
  <mergeCells count="3">
    <mergeCell ref="A1:AE1"/>
    <mergeCell ref="A3:AE3"/>
    <mergeCell ref="A2:AE2"/>
  </mergeCell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F9"/>
  <sheetViews>
    <sheetView workbookViewId="0">
      <pane ySplit="4" topLeftCell="A5" activePane="bottomLeft" state="frozen"/>
      <selection pane="bottomLeft" activeCell="A1" sqref="A1"/>
    </sheetView>
  </sheetViews>
  <sheetFormatPr baseColWidth="8" defaultRowHeight="15"/>
  <cols>
    <col width="14.7109375" customWidth="1" min="1" max="1"/>
  </cols>
  <sheetData>
    <row r="1" ht="35.1" customHeight="1">
      <c r="A1" s="15" t="inlineStr">
        <is>
          <t>商品</t>
        </is>
      </c>
      <c r="B1" s="15" t="inlineStr">
        <is>
          <t>即時 Bid</t>
        </is>
      </c>
      <c r="C1" s="15" t="inlineStr">
        <is>
          <t>亞盤低</t>
        </is>
      </c>
      <c r="D1" s="15" t="inlineStr">
        <is>
          <t>亞盤高</t>
        </is>
      </c>
      <c r="E1" s="15" t="inlineStr">
        <is>
          <t>歐盤低</t>
        </is>
      </c>
      <c r="F1" s="15" t="inlineStr">
        <is>
          <t>歐盤高</t>
        </is>
      </c>
      <c r="G1" s="15" t="inlineStr">
        <is>
          <t>美盤低</t>
        </is>
      </c>
      <c r="H1" s="15" t="inlineStr">
        <is>
          <t>美盤高</t>
        </is>
      </c>
      <c r="I1" s="15" t="inlineStr">
        <is>
          <t>週支撐</t>
        </is>
      </c>
      <c r="J1" s="15" t="inlineStr">
        <is>
          <t>週壓力</t>
        </is>
      </c>
      <c r="K1" s="15" t="inlineStr">
        <is>
          <t>近支撐</t>
        </is>
      </c>
      <c r="L1" s="15" t="inlineStr">
        <is>
          <t>近壓力</t>
        </is>
      </c>
      <c r="M1" s="15" t="inlineStr">
        <is>
          <t>支撐觸碰</t>
        </is>
      </c>
      <c r="N1" s="15" t="inlineStr">
        <is>
          <t>壓力觸碰</t>
        </is>
      </c>
      <c r="O1" s="15" t="inlineStr">
        <is>
          <t>支撐有效</t>
        </is>
      </c>
      <c r="P1" s="15" t="inlineStr">
        <is>
          <t>壓力有效</t>
        </is>
      </c>
      <c r="Q1" s="15" t="inlineStr">
        <is>
          <t>短MA</t>
        </is>
      </c>
      <c r="R1" s="15" t="inlineStr">
        <is>
          <t>長MA</t>
        </is>
      </c>
      <c r="S1" s="15" t="inlineStr">
        <is>
          <t>EMA</t>
        </is>
      </c>
      <c r="T1" s="15" t="inlineStr">
        <is>
          <t>短MA斜率%</t>
        </is>
      </c>
      <c r="U1" s="15" t="inlineStr">
        <is>
          <t>長MA斜率%</t>
        </is>
      </c>
      <c r="V1" s="15" t="inlineStr">
        <is>
          <t>EMA斜率%</t>
        </is>
      </c>
      <c r="W1" s="15" t="inlineStr">
        <is>
          <t>均線排列</t>
        </is>
      </c>
      <c r="X1" s="15" t="inlineStr">
        <is>
          <t>交叉狀態</t>
        </is>
      </c>
      <c r="Y1" s="15" t="inlineStr">
        <is>
          <t>趨勢分數</t>
        </is>
      </c>
      <c r="Z1" s="15" t="inlineStr">
        <is>
          <t>趨勢判定</t>
        </is>
      </c>
      <c r="AA1" s="15" t="inlineStr">
        <is>
          <t>個人化SL(ATR)</t>
        </is>
      </c>
      <c r="AB1" s="15" t="inlineStr">
        <is>
          <t>目前量</t>
        </is>
      </c>
      <c r="AC1" s="15" t="inlineStr">
        <is>
          <t>平均量</t>
        </is>
      </c>
      <c r="AD1" s="15" t="inlineStr">
        <is>
          <t>量能狀態</t>
        </is>
      </c>
      <c r="AE1" s="15" t="inlineStr">
        <is>
          <t>最終訊號</t>
        </is>
      </c>
      <c r="AF1" s="15" t="inlineStr">
        <is>
          <t>更新時間</t>
        </is>
      </c>
    </row>
    <row r="2">
      <c r="A2" t="inlineStr">
        <is>
          <t>EURUSD</t>
        </is>
      </c>
      <c r="B2" t="n">
        <v>1.1637</v>
      </c>
      <c r="C2" t="n">
        <v>1.13533</v>
      </c>
      <c r="D2" t="n">
        <v>1.17113</v>
      </c>
      <c r="E2" t="n">
        <v>1.16211</v>
      </c>
      <c r="F2" t="n">
        <v>1.16098</v>
      </c>
      <c r="G2" t="n">
        <v>1.16115</v>
      </c>
      <c r="H2" t="n">
        <v>-0.0006025</v>
      </c>
      <c r="I2" t="n">
        <v>-0.0004008</v>
      </c>
      <c r="J2" t="n">
        <v>-0.0004589</v>
      </c>
      <c r="K2" t="inlineStr">
        <is>
          <t>多頭排列</t>
        </is>
      </c>
      <c r="L2" t="n">
        <v>378</v>
      </c>
      <c r="M2" t="n">
        <v>1425</v>
      </c>
      <c r="N2" t="inlineStr">
        <is>
          <t>2026.09.03 20:40:30</t>
        </is>
      </c>
    </row>
    <row r="3">
      <c r="A3" t="inlineStr">
        <is>
          <t>GBPUSD</t>
        </is>
      </c>
      <c r="B3" t="n">
        <v>1.35444</v>
      </c>
      <c r="C3" t="n">
        <v>1.32733</v>
      </c>
      <c r="D3" t="n">
        <v>1.36754</v>
      </c>
      <c r="E3" t="n">
        <v>1.35183</v>
      </c>
      <c r="F3" t="n">
        <v>1.3504</v>
      </c>
      <c r="G3" t="n">
        <v>1.35086</v>
      </c>
      <c r="H3" t="n">
        <v>-0.0010811</v>
      </c>
      <c r="I3" t="n">
        <v>-0.0005989</v>
      </c>
      <c r="J3" t="n">
        <v>-0.0007078</v>
      </c>
      <c r="K3" t="inlineStr">
        <is>
          <t>多頭排列</t>
        </is>
      </c>
      <c r="L3" t="n">
        <v>706</v>
      </c>
      <c r="M3" t="n">
        <v>1825</v>
      </c>
      <c r="N3" t="inlineStr">
        <is>
          <t>2026.09.03 20:40:33</t>
        </is>
      </c>
    </row>
    <row r="4">
      <c r="A4" t="inlineStr">
        <is>
          <t>USDJPY</t>
        </is>
      </c>
      <c r="B4" t="n">
        <v>155.418</v>
      </c>
      <c r="C4" t="n">
        <v>155.227</v>
      </c>
      <c r="D4" t="n">
        <v>163.948</v>
      </c>
      <c r="E4" t="n">
        <v>155.551</v>
      </c>
      <c r="F4" t="n">
        <v>156.268</v>
      </c>
      <c r="G4" t="n">
        <v>156.252</v>
      </c>
      <c r="H4" t="n">
        <v>0.08683</v>
      </c>
      <c r="I4" t="n">
        <v>0.22718</v>
      </c>
      <c r="J4" t="n">
        <v>0.1723</v>
      </c>
      <c r="K4" t="inlineStr">
        <is>
          <t>空頭排列</t>
        </is>
      </c>
      <c r="L4" t="n">
        <v>711</v>
      </c>
      <c r="M4" t="n">
        <v>2192</v>
      </c>
      <c r="N4" t="inlineStr">
        <is>
          <t>2026.09.03 20:40:36</t>
        </is>
      </c>
    </row>
    <row r="5">
      <c r="A5" t="inlineStr">
        <is>
          <t>USDCAD</t>
        </is>
      </c>
      <c r="B5" t="n">
        <v>1.37799</v>
      </c>
      <c r="C5" t="n">
        <v>1.3732</v>
      </c>
      <c r="D5" t="n">
        <v>1.41287</v>
      </c>
      <c r="E5" t="n">
        <v>1.37922</v>
      </c>
      <c r="F5" t="n">
        <v>1.38089</v>
      </c>
      <c r="G5" t="n">
        <v>1.38064</v>
      </c>
      <c r="H5" t="n">
        <v>0.0005905</v>
      </c>
      <c r="I5" t="n">
        <v>0.0005542</v>
      </c>
      <c r="J5" t="n">
        <v>0.0005691</v>
      </c>
      <c r="K5" t="inlineStr">
        <is>
          <t>空頭排列</t>
        </is>
      </c>
      <c r="L5" t="n">
        <v>305</v>
      </c>
      <c r="M5" t="n">
        <v>1157</v>
      </c>
      <c r="N5" t="inlineStr">
        <is>
          <t>2026.09.03 20:40:38</t>
        </is>
      </c>
    </row>
    <row r="6">
      <c r="A6" t="inlineStr">
        <is>
          <t>AUDUSD</t>
        </is>
      </c>
      <c r="B6" t="n">
        <v>0.72067</v>
      </c>
      <c r="C6" t="n">
        <v>0.69221</v>
      </c>
      <c r="D6" t="n">
        <v>0.72079</v>
      </c>
      <c r="E6" t="n">
        <v>0.71957</v>
      </c>
      <c r="F6" t="n">
        <v>0.7184700000000001</v>
      </c>
      <c r="G6" t="n">
        <v>0.71871</v>
      </c>
      <c r="H6" t="n">
        <v>-0.0002172</v>
      </c>
      <c r="I6" t="n">
        <v>-0.0004856</v>
      </c>
      <c r="J6" t="n">
        <v>-0.0003618</v>
      </c>
      <c r="K6" t="inlineStr">
        <is>
          <t>多頭排列</t>
        </is>
      </c>
      <c r="L6" t="n">
        <v>335</v>
      </c>
      <c r="M6" t="n">
        <v>1307</v>
      </c>
      <c r="N6" t="inlineStr">
        <is>
          <t>2026.09.03 20:40:41</t>
        </is>
      </c>
    </row>
    <row r="7">
      <c r="A7" t="inlineStr">
        <is>
          <t>NZDUSD</t>
        </is>
      </c>
      <c r="B7" t="n">
        <v>0.58868</v>
      </c>
      <c r="C7" t="n">
        <v>0.57617</v>
      </c>
      <c r="D7" t="n">
        <v>0.59879</v>
      </c>
      <c r="E7" t="n">
        <v>0.58766</v>
      </c>
      <c r="F7" t="n">
        <v>0.5868100000000001</v>
      </c>
      <c r="G7" t="n">
        <v>0.5870300000000001</v>
      </c>
      <c r="H7" t="n">
        <v>-0.000445</v>
      </c>
      <c r="I7" t="n">
        <v>-0.0003542</v>
      </c>
      <c r="J7" t="n">
        <v>-0.0003406</v>
      </c>
      <c r="K7" t="inlineStr">
        <is>
          <t>多頭排列</t>
        </is>
      </c>
      <c r="L7" t="n">
        <v>300</v>
      </c>
      <c r="M7" t="n">
        <v>1024</v>
      </c>
      <c r="N7" t="inlineStr">
        <is>
          <t>2026.09.03 20:40:44</t>
        </is>
      </c>
    </row>
    <row r="8">
      <c r="A8" t="inlineStr">
        <is>
          <t>USDCHF</t>
        </is>
      </c>
      <c r="B8" t="n">
        <v>0.80623</v>
      </c>
      <c r="C8" t="n">
        <v>0.79495</v>
      </c>
      <c r="D8" t="n">
        <v>0.82067</v>
      </c>
      <c r="E8" t="n">
        <v>0.80775</v>
      </c>
      <c r="F8" t="n">
        <v>0.80912</v>
      </c>
      <c r="G8" t="n">
        <v>0.80901</v>
      </c>
      <c r="H8" t="n">
        <v>0.000652</v>
      </c>
      <c r="I8" t="n">
        <v>0.0005752</v>
      </c>
      <c r="J8" t="n">
        <v>0.0005419</v>
      </c>
      <c r="K8" t="inlineStr">
        <is>
          <t>空頭排列</t>
        </is>
      </c>
      <c r="L8" t="n">
        <v>365</v>
      </c>
      <c r="M8" t="n">
        <v>1225</v>
      </c>
      <c r="N8" t="inlineStr">
        <is>
          <t>2026.09.03 20:40:47</t>
        </is>
      </c>
    </row>
    <row r="9">
      <c r="A9" t="inlineStr">
        <is>
          <t>XAUUSD</t>
        </is>
      </c>
      <c r="B9" t="n">
        <v>4493.07</v>
      </c>
      <c r="C9" t="n">
        <v>3995.83</v>
      </c>
      <c r="D9" t="n">
        <v>4696.6</v>
      </c>
      <c r="E9" t="n">
        <v>4476.5</v>
      </c>
      <c r="F9" t="n">
        <v>4443.43</v>
      </c>
      <c r="G9" t="n">
        <v>4445.39</v>
      </c>
      <c r="H9" t="n">
        <v>-10.317</v>
      </c>
      <c r="I9" t="n">
        <v>-6.6842</v>
      </c>
      <c r="J9" t="n">
        <v>-6.7897</v>
      </c>
      <c r="K9" t="inlineStr">
        <is>
          <t>多頭排列</t>
        </is>
      </c>
      <c r="L9" t="n">
        <v>1967</v>
      </c>
      <c r="M9" t="n">
        <v>4307</v>
      </c>
      <c r="N9" t="inlineStr">
        <is>
          <t>2026.09.03 20:40:56</t>
        </is>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C18"/>
  <sheetViews>
    <sheetView workbookViewId="0">
      <pane ySplit="2" topLeftCell="A3" activePane="bottomLeft" state="frozen"/>
      <selection pane="bottomLeft" activeCell="A1" sqref="A1"/>
    </sheetView>
  </sheetViews>
  <sheetFormatPr baseColWidth="8" defaultRowHeight="15"/>
  <cols>
    <col width="13" customWidth="1" min="1" max="1"/>
    <col width="13" customWidth="1" min="2" max="2"/>
    <col width="13" customWidth="1" min="3" max="3"/>
    <col width="13" customWidth="1" min="4" max="4"/>
    <col width="13" customWidth="1" min="5" max="5"/>
    <col width="13" customWidth="1" min="6" max="6"/>
    <col width="13" customWidth="1" min="7" max="7"/>
    <col width="13" customWidth="1" min="8" max="8"/>
    <col width="13" customWidth="1" min="9" max="9"/>
    <col width="13" customWidth="1" min="10" max="10"/>
    <col width="13" customWidth="1" min="11" max="11"/>
    <col width="13" customWidth="1" min="12" max="12"/>
    <col width="13" customWidth="1" min="13" max="13"/>
    <col width="13" customWidth="1" min="14" max="14"/>
    <col width="13" customWidth="1" min="15" max="15"/>
    <col width="13" customWidth="1" min="16" max="16"/>
    <col width="13" customWidth="1" min="17" max="17"/>
    <col width="13" customWidth="1" min="18" max="18"/>
    <col width="13" customWidth="1" min="19" max="19"/>
    <col width="13" customWidth="1" min="20" max="20"/>
    <col width="13" customWidth="1" min="21" max="21"/>
    <col width="13" customWidth="1" min="22" max="22"/>
    <col width="13" customWidth="1" min="23" max="23"/>
    <col width="13" customWidth="1" min="24" max="24"/>
    <col width="13" customWidth="1" min="25" max="25"/>
    <col width="13" customWidth="1" min="26" max="26"/>
    <col width="13" customWidth="1" min="27" max="27"/>
    <col width="13" customWidth="1" min="28" max="28"/>
    <col width="13" customWidth="1" min="29" max="29"/>
  </cols>
  <sheetData>
    <row r="1" ht="20" customHeight="1">
      <c r="A1" s="58" t="inlineStr">
        <is>
          <t>基本設定</t>
        </is>
      </c>
      <c r="B1" s="74" t="n"/>
      <c r="C1" s="74" t="n"/>
      <c r="D1" s="74" t="n"/>
      <c r="E1" s="74" t="n"/>
      <c r="F1" s="73" t="n"/>
      <c r="G1" s="60" t="inlineStr">
        <is>
          <t>趨勢類</t>
        </is>
      </c>
      <c r="H1" s="73" t="n"/>
      <c r="I1" s="62" t="inlineStr">
        <is>
          <t>震盪類</t>
        </is>
      </c>
      <c r="J1" s="74" t="n"/>
      <c r="K1" s="74" t="n"/>
      <c r="L1" s="73" t="n"/>
      <c r="M1" s="64" t="inlineStr">
        <is>
          <t>波動風控類</t>
        </is>
      </c>
      <c r="N1" s="74" t="n"/>
      <c r="O1" s="74" t="n"/>
      <c r="P1" s="74" t="n"/>
      <c r="Q1" s="73" t="n"/>
      <c r="R1" s="66" t="inlineStr">
        <is>
          <t>訊號</t>
        </is>
      </c>
      <c r="S1" s="50" t="inlineStr">
        <is>
          <t>即時報價</t>
        </is>
      </c>
      <c r="T1" s="50" t="inlineStr">
        <is>
          <t>亞/歐/美盤高低</t>
        </is>
      </c>
      <c r="U1" s="74" t="n"/>
      <c r="V1" s="74" t="n"/>
      <c r="W1" s="74" t="n"/>
      <c r="X1" s="74" t="n"/>
      <c r="Y1" s="73" t="n"/>
      <c r="Z1" s="48" t="inlineStr">
        <is>
          <t>支撐壓力</t>
        </is>
      </c>
      <c r="AA1" s="73" t="n"/>
      <c r="AB1" s="52" t="inlineStr">
        <is>
          <t>量能與突破確認</t>
        </is>
      </c>
      <c r="AC1" s="73" t="n"/>
    </row>
    <row r="2" ht="28" customHeight="1">
      <c r="A2" s="68" t="inlineStr">
        <is>
          <t>主力商品</t>
        </is>
      </c>
      <c r="B2" s="68" t="inlineStr">
        <is>
          <t>週期</t>
        </is>
      </c>
      <c r="C2" s="68" t="inlineStr">
        <is>
          <t>策略類別</t>
        </is>
      </c>
      <c r="D2" s="68" t="inlineStr">
        <is>
          <t>對沖商品</t>
        </is>
      </c>
      <c r="E2" s="68" t="inlineStr">
        <is>
          <t>對沖手數</t>
        </is>
      </c>
      <c r="F2" s="68" t="inlineStr">
        <is>
          <t>對沖相關性</t>
        </is>
      </c>
      <c r="G2" s="69" t="inlineStr">
        <is>
          <t>EMA均線</t>
        </is>
      </c>
      <c r="H2" s="69" t="inlineStr">
        <is>
          <t>MACD參數</t>
        </is>
      </c>
      <c r="I2" s="70" t="inlineStr">
        <is>
          <t>RSI門檻</t>
        </is>
      </c>
      <c r="J2" s="70" t="inlineStr">
        <is>
          <t>KD門檻</t>
        </is>
      </c>
      <c r="K2" s="70" t="inlineStr">
        <is>
          <t>PSY門檻</t>
        </is>
      </c>
      <c r="L2" s="70" t="inlineStr">
        <is>
          <t>CCI參數</t>
        </is>
      </c>
      <c r="M2" s="71" t="inlineStr">
        <is>
          <t>ATR SL/TP</t>
        </is>
      </c>
      <c r="N2" s="71" t="inlineStr">
        <is>
          <t>BB布林</t>
        </is>
      </c>
      <c r="O2" s="71" t="inlineStr">
        <is>
          <t>Keltner通道</t>
        </is>
      </c>
      <c r="P2" s="71" t="inlineStr">
        <is>
          <t>優化勝率</t>
        </is>
      </c>
      <c r="Q2" s="71" t="inlineStr">
        <is>
          <t>夏普比率</t>
        </is>
      </c>
      <c r="R2" s="72" t="inlineStr">
        <is>
          <t>實戰訊號</t>
        </is>
      </c>
      <c r="S2" s="55" t="inlineStr">
        <is>
          <t>即時Bid</t>
        </is>
      </c>
      <c r="T2" s="55" t="inlineStr">
        <is>
          <t>亞盤低</t>
        </is>
      </c>
      <c r="U2" s="55" t="inlineStr">
        <is>
          <t>亞盤高</t>
        </is>
      </c>
      <c r="V2" s="55" t="inlineStr">
        <is>
          <t>歐盤低</t>
        </is>
      </c>
      <c r="W2" s="55" t="inlineStr">
        <is>
          <t>歐盤高</t>
        </is>
      </c>
      <c r="X2" s="55" t="inlineStr">
        <is>
          <t>美盤低</t>
        </is>
      </c>
      <c r="Y2" s="55" t="inlineStr">
        <is>
          <t>美盤高</t>
        </is>
      </c>
      <c r="Z2" s="54" t="inlineStr">
        <is>
          <t>近支撐</t>
        </is>
      </c>
      <c r="AA2" s="54" t="inlineStr">
        <is>
          <t>近壓力</t>
        </is>
      </c>
      <c r="AB2" s="56" t="inlineStr">
        <is>
          <t>量能狀態</t>
        </is>
      </c>
      <c r="AC2" s="56" t="inlineStr">
        <is>
          <t>量能確認突破</t>
        </is>
      </c>
    </row>
    <row r="3">
      <c r="A3" s="57" t="inlineStr">
        <is>
          <t>EURUSD</t>
        </is>
      </c>
      <c r="B3" s="57" t="inlineStr">
        <is>
          <t>M5</t>
        </is>
      </c>
      <c r="C3" s="57" t="inlineStr">
        <is>
          <t>M5 策略 B (回檔承接)</t>
        </is>
      </c>
      <c r="D3" s="57" t="inlineStr">
        <is>
          <t>USDCHF</t>
        </is>
      </c>
      <c r="E3" s="57" t="inlineStr">
        <is>
          <t>1 : 1.00</t>
        </is>
      </c>
      <c r="F3" s="57" t="inlineStr">
        <is>
          <t>反向(負相關)</t>
        </is>
      </c>
      <c r="G3" s="57" t="inlineStr">
        <is>
          <t>8 / 34 EMA</t>
        </is>
      </c>
      <c r="H3" s="57" t="inlineStr">
        <is>
          <t>MACD(10,22,8)</t>
        </is>
      </c>
      <c r="I3" s="57" t="inlineStr">
        <is>
          <t>RSI(12, 35/65)</t>
        </is>
      </c>
      <c r="J3" s="57" t="inlineStr">
        <is>
          <t>KD(8,3,3)</t>
        </is>
      </c>
      <c r="K3" s="57" t="inlineStr">
        <is>
          <t>PSY(10, 25/75)</t>
        </is>
      </c>
      <c r="L3" s="57" t="inlineStr">
        <is>
          <t>CCI(12, ±100)</t>
        </is>
      </c>
      <c r="M3" s="57" t="inlineStr">
        <is>
          <t>SL:75點 / TP:195點</t>
        </is>
      </c>
      <c r="N3" s="57" t="inlineStr">
        <is>
          <t>BB(18, 1.8)</t>
        </is>
      </c>
      <c r="O3" s="57" t="inlineStr">
        <is>
          <t>Keltner(16, 1.5)</t>
        </is>
      </c>
      <c r="P3" s="57" t="n">
        <v>0.768</v>
      </c>
      <c r="Q3" s="57" t="n">
        <v>2.52</v>
      </c>
      <c r="R3" s="57" t="inlineStr">
        <is>
          <t>【強勢多頭】觸發多單進場</t>
        </is>
      </c>
      <c r="S3" s="57">
        <f>IFERROR(INDEX('Data_v9最新'!$B:$B,MATCH($A3,'Data_v9最新'!$A:$A,0)),"")</f>
        <v/>
      </c>
      <c r="T3" s="57">
        <f>IFERROR(INDEX('Data_v9最新'!$D:$D,MATCH($A3,'Data_v9最新'!$A:$A,0)),"")</f>
        <v/>
      </c>
      <c r="U3" s="57">
        <f>IFERROR(INDEX('Data_v9最新'!$E:$E,MATCH($A3,'Data_v9最新'!$A:$A,0)),"")</f>
        <v/>
      </c>
      <c r="V3" s="57">
        <f>IFERROR(INDEX('Data_v9最新'!$F:$F,MATCH($A3,'Data_v9最新'!$A:$A,0)),"")</f>
        <v/>
      </c>
      <c r="W3" s="57">
        <f>IFERROR(INDEX('Data_v9最新'!$G:$G,MATCH($A3,'Data_v9最新'!$A:$A,0)),"")</f>
        <v/>
      </c>
      <c r="X3" s="57">
        <f>IFERROR(INDEX('Data_v9最新'!$H:$H,MATCH($A3,'Data_v9最新'!$A:$A,0)),"")</f>
        <v/>
      </c>
      <c r="Y3" s="57">
        <f>IFERROR(INDEX('Data_v9最新'!$I:$I,MATCH($A3,'Data_v9最新'!$A:$A,0)),"")</f>
        <v/>
      </c>
      <c r="Z3" s="57">
        <f>IFERROR(INDEX('Data_v9最新'!$L:$L,MATCH($A3,'Data_v9最新'!$A:$A,0)),"")</f>
        <v/>
      </c>
      <c r="AA3" s="57">
        <f>IFERROR(INDEX('Data_v9最新'!$M:$M,MATCH($A3,'Data_v9最新'!$A:$A,0)),"")</f>
        <v/>
      </c>
      <c r="AB3" s="57">
        <f>IFERROR(INDEX('Data_v9最新'!$AE:$AE,MATCH($A3,'Data_v9最新'!$A:$A,0)),"")</f>
        <v/>
      </c>
      <c r="AC3" s="57">
        <f>IF(OR($S3="",$AB3=""),"",IF(AND($S3&gt;MAX($U3,$W3,$Y3,$AA3),$AB3="放量"),"🔺確認向上突破(放量)",IF($S3&gt;MAX($U3,$W3,$Y3,$AA3),"⚠疑似假突破(量縮)",IF(AND($S3&lt;MIN($T3,$V3,$X3,$Z3),$AB3="放量"),"🔻確認向下突破(放量)",IF($S3&lt;MIN($T3,$V3,$X3,$Z3),"⚠疑似假跌破(量縮)","區間整理")))))</f>
        <v/>
      </c>
    </row>
    <row r="4">
      <c r="A4" s="57" t="inlineStr">
        <is>
          <t>EURUSD</t>
        </is>
      </c>
      <c r="B4" s="57" t="inlineStr">
        <is>
          <t>M5</t>
        </is>
      </c>
      <c r="C4" s="57" t="inlineStr">
        <is>
          <t>M5 策略 A (動態突破)</t>
        </is>
      </c>
      <c r="D4" s="57" t="inlineStr">
        <is>
          <t>USDCHF</t>
        </is>
      </c>
      <c r="E4" s="57" t="inlineStr">
        <is>
          <t>1 : 1.00</t>
        </is>
      </c>
      <c r="F4" s="57" t="inlineStr">
        <is>
          <t>反向(負相關)</t>
        </is>
      </c>
      <c r="G4" s="57" t="inlineStr">
        <is>
          <t>5 / 20 EMA</t>
        </is>
      </c>
      <c r="H4" s="57" t="inlineStr">
        <is>
          <t>MACD(8,18,6)</t>
        </is>
      </c>
      <c r="I4" s="57" t="inlineStr">
        <is>
          <t>RSI(10, 30/70)</t>
        </is>
      </c>
      <c r="J4" s="57" t="inlineStr">
        <is>
          <t>KD(6,3,3)</t>
        </is>
      </c>
      <c r="K4" s="57" t="inlineStr">
        <is>
          <t>PSY(8, 20/80)</t>
        </is>
      </c>
      <c r="L4" s="57" t="inlineStr">
        <is>
          <t>CCI(10, ±120)</t>
        </is>
      </c>
      <c r="M4" s="57" t="inlineStr">
        <is>
          <t>SL:80點 / TP:180點</t>
        </is>
      </c>
      <c r="N4" s="57" t="inlineStr">
        <is>
          <t>BB(16, 1.8)</t>
        </is>
      </c>
      <c r="O4" s="57" t="inlineStr">
        <is>
          <t>Keltner(14, 1.2)</t>
        </is>
      </c>
      <c r="P4" s="57" t="n">
        <v>0.731</v>
      </c>
      <c r="Q4" s="57" t="n">
        <v>2.41</v>
      </c>
      <c r="R4" s="57" t="inlineStr">
        <is>
          <t>【強勢多頭】觸發多單進場</t>
        </is>
      </c>
      <c r="S4" s="57">
        <f>IFERROR(INDEX('Data_v9最新'!$B:$B,MATCH($A4,'Data_v9最新'!$A:$A,0)),"")</f>
        <v/>
      </c>
      <c r="T4" s="57">
        <f>IFERROR(INDEX('Data_v9最新'!$D:$D,MATCH($A4,'Data_v9最新'!$A:$A,0)),"")</f>
        <v/>
      </c>
      <c r="U4" s="57">
        <f>IFERROR(INDEX('Data_v9最新'!$E:$E,MATCH($A4,'Data_v9最新'!$A:$A,0)),"")</f>
        <v/>
      </c>
      <c r="V4" s="57">
        <f>IFERROR(INDEX('Data_v9最新'!$F:$F,MATCH($A4,'Data_v9最新'!$A:$A,0)),"")</f>
        <v/>
      </c>
      <c r="W4" s="57">
        <f>IFERROR(INDEX('Data_v9最新'!$G:$G,MATCH($A4,'Data_v9最新'!$A:$A,0)),"")</f>
        <v/>
      </c>
      <c r="X4" s="57">
        <f>IFERROR(INDEX('Data_v9最新'!$H:$H,MATCH($A4,'Data_v9最新'!$A:$A,0)),"")</f>
        <v/>
      </c>
      <c r="Y4" s="57">
        <f>IFERROR(INDEX('Data_v9最新'!$I:$I,MATCH($A4,'Data_v9最新'!$A:$A,0)),"")</f>
        <v/>
      </c>
      <c r="Z4" s="57">
        <f>IFERROR(INDEX('Data_v9最新'!$L:$L,MATCH($A4,'Data_v9最新'!$A:$A,0)),"")</f>
        <v/>
      </c>
      <c r="AA4" s="57">
        <f>IFERROR(INDEX('Data_v9最新'!$M:$M,MATCH($A4,'Data_v9最新'!$A:$A,0)),"")</f>
        <v/>
      </c>
      <c r="AB4" s="57">
        <f>IFERROR(INDEX('Data_v9最新'!$AE:$AE,MATCH($A4,'Data_v9最新'!$A:$A,0)),"")</f>
        <v/>
      </c>
      <c r="AC4" s="57">
        <f>IF(OR($S4="",$AB4=""),"",IF(AND($S4&gt;MAX($U4,$W4,$Y4,$AA4),$AB4="放量"),"🔺確認向上突破(放量)",IF($S4&gt;MAX($U4,$W4,$Y4,$AA4),"⚠疑似假突破(量縮)",IF(AND($S4&lt;MIN($T4,$V4,$X4,$Z4),$AB4="放量"),"🔻確認向下突破(放量)",IF($S4&lt;MIN($T4,$V4,$X4,$Z4),"⚠疑似假跌破(量縮)","區間整理")))))</f>
        <v/>
      </c>
    </row>
    <row r="5">
      <c r="A5" s="57" t="inlineStr">
        <is>
          <t>GBPUSD</t>
        </is>
      </c>
      <c r="B5" s="57" t="inlineStr">
        <is>
          <t>M5</t>
        </is>
      </c>
      <c r="C5" s="57" t="inlineStr">
        <is>
          <t>M5 策略 B (回檔承接)</t>
        </is>
      </c>
      <c r="D5" s="57" t="inlineStr">
        <is>
          <t>EURUSD</t>
        </is>
      </c>
      <c r="E5" s="57" t="inlineStr">
        <is>
          <t>1 : 0.85</t>
        </is>
      </c>
      <c r="F5" s="57" t="inlineStr">
        <is>
          <t>同向(正相關)</t>
        </is>
      </c>
      <c r="G5" s="57" t="inlineStr">
        <is>
          <t>10 / 48 EMA</t>
        </is>
      </c>
      <c r="H5" s="57" t="inlineStr">
        <is>
          <t>MACD(12,26,9)</t>
        </is>
      </c>
      <c r="I5" s="57" t="inlineStr">
        <is>
          <t>RSI(14, 32/68)</t>
        </is>
      </c>
      <c r="J5" s="57" t="inlineStr">
        <is>
          <t>KD(9,3,3)</t>
        </is>
      </c>
      <c r="K5" s="57" t="inlineStr">
        <is>
          <t>PSY(12, 20/80)</t>
        </is>
      </c>
      <c r="L5" s="57" t="inlineStr">
        <is>
          <t>CCI(14, ±110)</t>
        </is>
      </c>
      <c r="M5" s="57" t="inlineStr">
        <is>
          <t>SL:95點 / TP:250點</t>
        </is>
      </c>
      <c r="N5" s="57" t="inlineStr">
        <is>
          <t>BB(20, 2.0)</t>
        </is>
      </c>
      <c r="O5" s="57" t="inlineStr">
        <is>
          <t>Keltner(20, 1.8)</t>
        </is>
      </c>
      <c r="P5" s="57" t="n">
        <v>0.784</v>
      </c>
      <c r="Q5" s="57" t="n">
        <v>2.68</v>
      </c>
      <c r="R5" s="57" t="inlineStr">
        <is>
          <t>【強勢多頭】觸發多單進場</t>
        </is>
      </c>
      <c r="S5" s="57">
        <f>IFERROR(INDEX('Data_v9最新'!$B:$B,MATCH($A5,'Data_v9最新'!$A:$A,0)),"")</f>
        <v/>
      </c>
      <c r="T5" s="57">
        <f>IFERROR(INDEX('Data_v9最新'!$D:$D,MATCH($A5,'Data_v9最新'!$A:$A,0)),"")</f>
        <v/>
      </c>
      <c r="U5" s="57">
        <f>IFERROR(INDEX('Data_v9最新'!$E:$E,MATCH($A5,'Data_v9最新'!$A:$A,0)),"")</f>
        <v/>
      </c>
      <c r="V5" s="57">
        <f>IFERROR(INDEX('Data_v9最新'!$F:$F,MATCH($A5,'Data_v9最新'!$A:$A,0)),"")</f>
        <v/>
      </c>
      <c r="W5" s="57">
        <f>IFERROR(INDEX('Data_v9最新'!$G:$G,MATCH($A5,'Data_v9最新'!$A:$A,0)),"")</f>
        <v/>
      </c>
      <c r="X5" s="57">
        <f>IFERROR(INDEX('Data_v9最新'!$H:$H,MATCH($A5,'Data_v9最新'!$A:$A,0)),"")</f>
        <v/>
      </c>
      <c r="Y5" s="57">
        <f>IFERROR(INDEX('Data_v9最新'!$I:$I,MATCH($A5,'Data_v9最新'!$A:$A,0)),"")</f>
        <v/>
      </c>
      <c r="Z5" s="57">
        <f>IFERROR(INDEX('Data_v9最新'!$L:$L,MATCH($A5,'Data_v9最新'!$A:$A,0)),"")</f>
        <v/>
      </c>
      <c r="AA5" s="57">
        <f>IFERROR(INDEX('Data_v9最新'!$M:$M,MATCH($A5,'Data_v9最新'!$A:$A,0)),"")</f>
        <v/>
      </c>
      <c r="AB5" s="57">
        <f>IFERROR(INDEX('Data_v9最新'!$AE:$AE,MATCH($A5,'Data_v9最新'!$A:$A,0)),"")</f>
        <v/>
      </c>
      <c r="AC5" s="57">
        <f>IF(OR($S5="",$AB5=""),"",IF(AND($S5&gt;MAX($U5,$W5,$Y5,$AA5),$AB5="放量"),"🔺確認向上突破(放量)",IF($S5&gt;MAX($U5,$W5,$Y5,$AA5),"⚠疑似假突破(量縮)",IF(AND($S5&lt;MIN($T5,$V5,$X5,$Z5),$AB5="放量"),"🔻確認向下突破(放量)",IF($S5&lt;MIN($T5,$V5,$X5,$Z5),"⚠疑似假跌破(量縮)","區間整理")))))</f>
        <v/>
      </c>
    </row>
    <row r="6">
      <c r="A6" s="57" t="inlineStr">
        <is>
          <t>GBPUSD</t>
        </is>
      </c>
      <c r="B6" s="57" t="inlineStr">
        <is>
          <t>M5</t>
        </is>
      </c>
      <c r="C6" s="57" t="inlineStr">
        <is>
          <t>M5 策略 A (動態突破)</t>
        </is>
      </c>
      <c r="D6" s="57" t="inlineStr">
        <is>
          <t>EURUSD</t>
        </is>
      </c>
      <c r="E6" s="57" t="inlineStr">
        <is>
          <t>1 : 0.85</t>
        </is>
      </c>
      <c r="F6" s="57" t="inlineStr">
        <is>
          <t>同向(正相關)</t>
        </is>
      </c>
      <c r="G6" s="57" t="inlineStr">
        <is>
          <t>6 / 24 EMA</t>
        </is>
      </c>
      <c r="H6" s="57" t="inlineStr">
        <is>
          <t>MACD(10,22,8)</t>
        </is>
      </c>
      <c r="I6" s="57" t="inlineStr">
        <is>
          <t>RSI(12, 28/72)</t>
        </is>
      </c>
      <c r="J6" s="57" t="inlineStr">
        <is>
          <t>KD(7,3,3)</t>
        </is>
      </c>
      <c r="K6" s="57" t="inlineStr">
        <is>
          <t>PSY(10, 18/82)</t>
        </is>
      </c>
      <c r="L6" s="57" t="inlineStr">
        <is>
          <t>CCI(12, ±130)</t>
        </is>
      </c>
      <c r="M6" s="57" t="inlineStr">
        <is>
          <t>SL:100點 / TP:230點</t>
        </is>
      </c>
      <c r="N6" s="57" t="inlineStr">
        <is>
          <t>BB(18, 1.9)</t>
        </is>
      </c>
      <c r="O6" s="57" t="inlineStr">
        <is>
          <t>Keltner(16, 1.5)</t>
        </is>
      </c>
      <c r="P6" s="57" t="n">
        <v>0.742</v>
      </c>
      <c r="Q6" s="57" t="n">
        <v>2.48</v>
      </c>
      <c r="R6" s="57" t="inlineStr">
        <is>
          <t>【強勢多頭】觸發多單進場</t>
        </is>
      </c>
      <c r="S6" s="57">
        <f>IFERROR(INDEX('Data_v9最新'!$B:$B,MATCH($A6,'Data_v9最新'!$A:$A,0)),"")</f>
        <v/>
      </c>
      <c r="T6" s="57">
        <f>IFERROR(INDEX('Data_v9最新'!$D:$D,MATCH($A6,'Data_v9最新'!$A:$A,0)),"")</f>
        <v/>
      </c>
      <c r="U6" s="57">
        <f>IFERROR(INDEX('Data_v9最新'!$E:$E,MATCH($A6,'Data_v9最新'!$A:$A,0)),"")</f>
        <v/>
      </c>
      <c r="V6" s="57">
        <f>IFERROR(INDEX('Data_v9最新'!$F:$F,MATCH($A6,'Data_v9最新'!$A:$A,0)),"")</f>
        <v/>
      </c>
      <c r="W6" s="57">
        <f>IFERROR(INDEX('Data_v9最新'!$G:$G,MATCH($A6,'Data_v9最新'!$A:$A,0)),"")</f>
        <v/>
      </c>
      <c r="X6" s="57">
        <f>IFERROR(INDEX('Data_v9最新'!$H:$H,MATCH($A6,'Data_v9最新'!$A:$A,0)),"")</f>
        <v/>
      </c>
      <c r="Y6" s="57">
        <f>IFERROR(INDEX('Data_v9最新'!$I:$I,MATCH($A6,'Data_v9最新'!$A:$A,0)),"")</f>
        <v/>
      </c>
      <c r="Z6" s="57">
        <f>IFERROR(INDEX('Data_v9最新'!$L:$L,MATCH($A6,'Data_v9最新'!$A:$A,0)),"")</f>
        <v/>
      </c>
      <c r="AA6" s="57">
        <f>IFERROR(INDEX('Data_v9最新'!$M:$M,MATCH($A6,'Data_v9最新'!$A:$A,0)),"")</f>
        <v/>
      </c>
      <c r="AB6" s="57">
        <f>IFERROR(INDEX('Data_v9最新'!$AE:$AE,MATCH($A6,'Data_v9最新'!$A:$A,0)),"")</f>
        <v/>
      </c>
      <c r="AC6" s="57">
        <f>IF(OR($S6="",$AB6=""),"",IF(AND($S6&gt;MAX($U6,$W6,$Y6,$AA6),$AB6="放量"),"🔺確認向上突破(放量)",IF($S6&gt;MAX($U6,$W6,$Y6,$AA6),"⚠疑似假突破(量縮)",IF(AND($S6&lt;MIN($T6,$V6,$X6,$Z6),$AB6="放量"),"🔻確認向下突破(放量)",IF($S6&lt;MIN($T6,$V6,$X6,$Z6),"⚠疑似假跌破(量縮)","區間整理")))))</f>
        <v/>
      </c>
    </row>
    <row r="7">
      <c r="A7" s="57" t="inlineStr">
        <is>
          <t>AUDUSD</t>
        </is>
      </c>
      <c r="B7" s="57" t="inlineStr">
        <is>
          <t>M5</t>
        </is>
      </c>
      <c r="C7" s="57" t="inlineStr">
        <is>
          <t>M5 策略 B (回檔承接)</t>
        </is>
      </c>
      <c r="D7" s="57" t="inlineStr">
        <is>
          <t>NZDUSD</t>
        </is>
      </c>
      <c r="E7" s="57" t="inlineStr">
        <is>
          <t>1 : 0.90</t>
        </is>
      </c>
      <c r="F7" s="57" t="inlineStr">
        <is>
          <t>同向(正相關)</t>
        </is>
      </c>
      <c r="G7" s="57" t="inlineStr">
        <is>
          <t>6 / 30 EMA</t>
        </is>
      </c>
      <c r="H7" s="57" t="inlineStr">
        <is>
          <t>MACD(8,18,6)</t>
        </is>
      </c>
      <c r="I7" s="57" t="inlineStr">
        <is>
          <t>RSI(10, 30/70)</t>
        </is>
      </c>
      <c r="J7" s="57" t="inlineStr">
        <is>
          <t>KD(7,3,3)</t>
        </is>
      </c>
      <c r="K7" s="57" t="inlineStr">
        <is>
          <t>PSY(10, 22/78)</t>
        </is>
      </c>
      <c r="L7" s="57" t="inlineStr">
        <is>
          <t>CCI(10, ±90)</t>
        </is>
      </c>
      <c r="M7" s="57" t="inlineStr">
        <is>
          <t>SL:65點 / TP:160點</t>
        </is>
      </c>
      <c r="N7" s="57" t="inlineStr">
        <is>
          <t>BB(16, 1.6)</t>
        </is>
      </c>
      <c r="O7" s="57" t="inlineStr">
        <is>
          <t>Keltner(14, 1.2)</t>
        </is>
      </c>
      <c r="P7" s="57" t="n">
        <v>0.755</v>
      </c>
      <c r="Q7" s="57" t="n">
        <v>2.39</v>
      </c>
      <c r="R7" s="57" t="inlineStr">
        <is>
          <t>【觀望】指標未達進場門檻</t>
        </is>
      </c>
      <c r="S7" s="57">
        <f>IFERROR(INDEX('Data_v9最新'!$B:$B,MATCH($A7,'Data_v9最新'!$A:$A,0)),"")</f>
        <v/>
      </c>
      <c r="T7" s="57">
        <f>IFERROR(INDEX('Data_v9最新'!$D:$D,MATCH($A7,'Data_v9最新'!$A:$A,0)),"")</f>
        <v/>
      </c>
      <c r="U7" s="57">
        <f>IFERROR(INDEX('Data_v9最新'!$E:$E,MATCH($A7,'Data_v9最新'!$A:$A,0)),"")</f>
        <v/>
      </c>
      <c r="V7" s="57">
        <f>IFERROR(INDEX('Data_v9最新'!$F:$F,MATCH($A7,'Data_v9最新'!$A:$A,0)),"")</f>
        <v/>
      </c>
      <c r="W7" s="57">
        <f>IFERROR(INDEX('Data_v9最新'!$G:$G,MATCH($A7,'Data_v9最新'!$A:$A,0)),"")</f>
        <v/>
      </c>
      <c r="X7" s="57">
        <f>IFERROR(INDEX('Data_v9最新'!$H:$H,MATCH($A7,'Data_v9最新'!$A:$A,0)),"")</f>
        <v/>
      </c>
      <c r="Y7" s="57">
        <f>IFERROR(INDEX('Data_v9最新'!$I:$I,MATCH($A7,'Data_v9最新'!$A:$A,0)),"")</f>
        <v/>
      </c>
      <c r="Z7" s="57">
        <f>IFERROR(INDEX('Data_v9最新'!$L:$L,MATCH($A7,'Data_v9最新'!$A:$A,0)),"")</f>
        <v/>
      </c>
      <c r="AA7" s="57">
        <f>IFERROR(INDEX('Data_v9最新'!$M:$M,MATCH($A7,'Data_v9最新'!$A:$A,0)),"")</f>
        <v/>
      </c>
      <c r="AB7" s="57">
        <f>IFERROR(INDEX('Data_v9最新'!$AE:$AE,MATCH($A7,'Data_v9最新'!$A:$A,0)),"")</f>
        <v/>
      </c>
      <c r="AC7" s="57">
        <f>IF(OR($S7="",$AB7=""),"",IF(AND($S7&gt;MAX($U7,$W7,$Y7,$AA7),$AB7="放量"),"🔺確認向上突破(放量)",IF($S7&gt;MAX($U7,$W7,$Y7,$AA7),"⚠疑似假突破(量縮)",IF(AND($S7&lt;MIN($T7,$V7,$X7,$Z7),$AB7="放量"),"🔻確認向下突破(放量)",IF($S7&lt;MIN($T7,$V7,$X7,$Z7),"⚠疑似假跌破(量縮)","區間整理")))))</f>
        <v/>
      </c>
    </row>
    <row r="8">
      <c r="A8" s="57" t="inlineStr">
        <is>
          <t>AUDUSD</t>
        </is>
      </c>
      <c r="B8" s="57" t="inlineStr">
        <is>
          <t>M5</t>
        </is>
      </c>
      <c r="C8" s="57" t="inlineStr">
        <is>
          <t>M5 策略 A (動態突破)</t>
        </is>
      </c>
      <c r="D8" s="57" t="inlineStr">
        <is>
          <t>NZDUSD</t>
        </is>
      </c>
      <c r="E8" s="57" t="inlineStr">
        <is>
          <t>1 : 0.90</t>
        </is>
      </c>
      <c r="F8" s="57" t="inlineStr">
        <is>
          <t>同向(正相關)</t>
        </is>
      </c>
      <c r="G8" s="57" t="inlineStr">
        <is>
          <t>4 / 16 EMA</t>
        </is>
      </c>
      <c r="H8" s="57" t="inlineStr">
        <is>
          <t>MACD(6,14,5)</t>
        </is>
      </c>
      <c r="I8" s="57" t="inlineStr">
        <is>
          <t>RSI(9, 32/68)</t>
        </is>
      </c>
      <c r="J8" s="57" t="inlineStr">
        <is>
          <t>KD(5,3,3)</t>
        </is>
      </c>
      <c r="K8" s="57" t="inlineStr">
        <is>
          <t>PSY(8, 20/80)</t>
        </is>
      </c>
      <c r="L8" s="57" t="inlineStr">
        <is>
          <t>CCI(8, ±100)</t>
        </is>
      </c>
      <c r="M8" s="57" t="inlineStr">
        <is>
          <t>SL:70點 / TP:150點</t>
        </is>
      </c>
      <c r="N8" s="57" t="inlineStr">
        <is>
          <t>BB(14, 1.5)</t>
        </is>
      </c>
      <c r="O8" s="57" t="inlineStr">
        <is>
          <t>Keltner(12, 1.0)</t>
        </is>
      </c>
      <c r="P8" s="57" t="n">
        <v>0.718</v>
      </c>
      <c r="Q8" s="57" t="n">
        <v>2.25</v>
      </c>
      <c r="R8" s="57" t="inlineStr">
        <is>
          <t>【觀望】指標未達進場門檻</t>
        </is>
      </c>
      <c r="S8" s="57">
        <f>IFERROR(INDEX('Data_v9最新'!$B:$B,MATCH($A8,'Data_v9最新'!$A:$A,0)),"")</f>
        <v/>
      </c>
      <c r="T8" s="57">
        <f>IFERROR(INDEX('Data_v9最新'!$D:$D,MATCH($A8,'Data_v9最新'!$A:$A,0)),"")</f>
        <v/>
      </c>
      <c r="U8" s="57">
        <f>IFERROR(INDEX('Data_v9最新'!$E:$E,MATCH($A8,'Data_v9最新'!$A:$A,0)),"")</f>
        <v/>
      </c>
      <c r="V8" s="57">
        <f>IFERROR(INDEX('Data_v9最新'!$F:$F,MATCH($A8,'Data_v9最新'!$A:$A,0)),"")</f>
        <v/>
      </c>
      <c r="W8" s="57">
        <f>IFERROR(INDEX('Data_v9最新'!$G:$G,MATCH($A8,'Data_v9最新'!$A:$A,0)),"")</f>
        <v/>
      </c>
      <c r="X8" s="57">
        <f>IFERROR(INDEX('Data_v9最新'!$H:$H,MATCH($A8,'Data_v9最新'!$A:$A,0)),"")</f>
        <v/>
      </c>
      <c r="Y8" s="57">
        <f>IFERROR(INDEX('Data_v9最新'!$I:$I,MATCH($A8,'Data_v9最新'!$A:$A,0)),"")</f>
        <v/>
      </c>
      <c r="Z8" s="57">
        <f>IFERROR(INDEX('Data_v9最新'!$L:$L,MATCH($A8,'Data_v9最新'!$A:$A,0)),"")</f>
        <v/>
      </c>
      <c r="AA8" s="57">
        <f>IFERROR(INDEX('Data_v9最新'!$M:$M,MATCH($A8,'Data_v9最新'!$A:$A,0)),"")</f>
        <v/>
      </c>
      <c r="AB8" s="57">
        <f>IFERROR(INDEX('Data_v9最新'!$AE:$AE,MATCH($A8,'Data_v9最新'!$A:$A,0)),"")</f>
        <v/>
      </c>
      <c r="AC8" s="57">
        <f>IF(OR($S8="",$AB8=""),"",IF(AND($S8&gt;MAX($U8,$W8,$Y8,$AA8),$AB8="放量"),"🔺確認向上突破(放量)",IF($S8&gt;MAX($U8,$W8,$Y8,$AA8),"⚠疑似假突破(量縮)",IF(AND($S8&lt;MIN($T8,$V8,$X8,$Z8),$AB8="放量"),"🔻確認向下突破(放量)",IF($S8&lt;MIN($T8,$V8,$X8,$Z8),"⚠疑似假跌破(量縮)","區間整理")))))</f>
        <v/>
      </c>
    </row>
    <row r="9">
      <c r="A9" s="57" t="inlineStr">
        <is>
          <t>USDCAD</t>
        </is>
      </c>
      <c r="B9" s="57" t="inlineStr">
        <is>
          <t>M5</t>
        </is>
      </c>
      <c r="C9" s="57" t="inlineStr">
        <is>
          <t>M5 策略 B (回檔承接)</t>
        </is>
      </c>
      <c r="D9" s="57" t="inlineStr">
        <is>
          <t>USOIL</t>
        </is>
      </c>
      <c r="E9" s="57" t="inlineStr">
        <is>
          <t>1 : 0.50</t>
        </is>
      </c>
      <c r="F9" s="57" t="inlineStr">
        <is>
          <t>反向(負相關)</t>
        </is>
      </c>
      <c r="G9" s="57" t="inlineStr">
        <is>
          <t>7 / 35 EMA</t>
        </is>
      </c>
      <c r="H9" s="57" t="inlineStr">
        <is>
          <t>MACD(9,20,7)</t>
        </is>
      </c>
      <c r="I9" s="57" t="inlineStr">
        <is>
          <t>RSI(11, 32/68)</t>
        </is>
      </c>
      <c r="J9" s="57" t="inlineStr">
        <is>
          <t>KD(8,3,3)</t>
        </is>
      </c>
      <c r="K9" s="57" t="inlineStr">
        <is>
          <t>PSY(10, 20/80)</t>
        </is>
      </c>
      <c r="L9" s="57" t="inlineStr">
        <is>
          <t>CCI(12, ±100)</t>
        </is>
      </c>
      <c r="M9" s="57" t="inlineStr">
        <is>
          <t>SL:70點 / TP:175點</t>
        </is>
      </c>
      <c r="N9" s="57" t="inlineStr">
        <is>
          <t>BB(18, 1.8)</t>
        </is>
      </c>
      <c r="O9" s="57" t="inlineStr">
        <is>
          <t>Keltner(18, 1.5)</t>
        </is>
      </c>
      <c r="P9" s="57" t="n">
        <v>0.762</v>
      </c>
      <c r="Q9" s="57" t="n">
        <v>2.46</v>
      </c>
      <c r="R9" s="57" t="inlineStr">
        <is>
          <t>【觀望】指標未達進場門檻</t>
        </is>
      </c>
      <c r="S9" s="57">
        <f>IFERROR(INDEX('Data_v9最新'!$B:$B,MATCH($A9,'Data_v9最新'!$A:$A,0)),"")</f>
        <v/>
      </c>
      <c r="T9" s="57">
        <f>IFERROR(INDEX('Data_v9最新'!$D:$D,MATCH($A9,'Data_v9最新'!$A:$A,0)),"")</f>
        <v/>
      </c>
      <c r="U9" s="57">
        <f>IFERROR(INDEX('Data_v9最新'!$E:$E,MATCH($A9,'Data_v9最新'!$A:$A,0)),"")</f>
        <v/>
      </c>
      <c r="V9" s="57">
        <f>IFERROR(INDEX('Data_v9最新'!$F:$F,MATCH($A9,'Data_v9最新'!$A:$A,0)),"")</f>
        <v/>
      </c>
      <c r="W9" s="57">
        <f>IFERROR(INDEX('Data_v9最新'!$G:$G,MATCH($A9,'Data_v9最新'!$A:$A,0)),"")</f>
        <v/>
      </c>
      <c r="X9" s="57">
        <f>IFERROR(INDEX('Data_v9最新'!$H:$H,MATCH($A9,'Data_v9最新'!$A:$A,0)),"")</f>
        <v/>
      </c>
      <c r="Y9" s="57">
        <f>IFERROR(INDEX('Data_v9最新'!$I:$I,MATCH($A9,'Data_v9最新'!$A:$A,0)),"")</f>
        <v/>
      </c>
      <c r="Z9" s="57">
        <f>IFERROR(INDEX('Data_v9最新'!$L:$L,MATCH($A9,'Data_v9最新'!$A:$A,0)),"")</f>
        <v/>
      </c>
      <c r="AA9" s="57">
        <f>IFERROR(INDEX('Data_v9最新'!$M:$M,MATCH($A9,'Data_v9最新'!$A:$A,0)),"")</f>
        <v/>
      </c>
      <c r="AB9" s="57">
        <f>IFERROR(INDEX('Data_v9最新'!$AE:$AE,MATCH($A9,'Data_v9最新'!$A:$A,0)),"")</f>
        <v/>
      </c>
      <c r="AC9" s="57">
        <f>IF(OR($S9="",$AB9=""),"",IF(AND($S9&gt;MAX($U9,$W9,$Y9,$AA9),$AB9="放量"),"🔺確認向上突破(放量)",IF($S9&gt;MAX($U9,$W9,$Y9,$AA9),"⚠疑似假突破(量縮)",IF(AND($S9&lt;MIN($T9,$V9,$X9,$Z9),$AB9="放量"),"🔻確認向下突破(放量)",IF($S9&lt;MIN($T9,$V9,$X9,$Z9),"⚠疑似假跌破(量縮)","區間整理")))))</f>
        <v/>
      </c>
    </row>
    <row r="10">
      <c r="A10" s="57" t="inlineStr">
        <is>
          <t>USDCAD</t>
        </is>
      </c>
      <c r="B10" s="57" t="inlineStr">
        <is>
          <t>M5</t>
        </is>
      </c>
      <c r="C10" s="57" t="inlineStr">
        <is>
          <t>M5 策略 A (動態突破)</t>
        </is>
      </c>
      <c r="D10" s="57" t="inlineStr">
        <is>
          <t>USOIL</t>
        </is>
      </c>
      <c r="E10" s="57" t="inlineStr">
        <is>
          <t>1 : 0.50</t>
        </is>
      </c>
      <c r="F10" s="57" t="inlineStr">
        <is>
          <t>反向(負相關)</t>
        </is>
      </c>
      <c r="G10" s="57" t="inlineStr">
        <is>
          <t>4 / 18 EMA</t>
        </is>
      </c>
      <c r="H10" s="57" t="inlineStr">
        <is>
          <t>MACD(8,16,6)</t>
        </is>
      </c>
      <c r="I10" s="57" t="inlineStr">
        <is>
          <t>RSI(10, 30/70)</t>
        </is>
      </c>
      <c r="J10" s="57" t="inlineStr">
        <is>
          <t>KD(6,3,3)</t>
        </is>
      </c>
      <c r="K10" s="57" t="inlineStr">
        <is>
          <t>PSY(8, 22/78)</t>
        </is>
      </c>
      <c r="L10" s="57" t="inlineStr">
        <is>
          <t>CCI(10, ±110)</t>
        </is>
      </c>
      <c r="M10" s="57" t="inlineStr">
        <is>
          <t>SL:75點 / TP:165點</t>
        </is>
      </c>
      <c r="N10" s="57" t="inlineStr">
        <is>
          <t>BB(16, 1.7)</t>
        </is>
      </c>
      <c r="O10" s="57" t="inlineStr">
        <is>
          <t>Keltner(14, 1.3)</t>
        </is>
      </c>
      <c r="P10" s="57" t="n">
        <v>0.725</v>
      </c>
      <c r="Q10" s="57" t="n">
        <v>2.32</v>
      </c>
      <c r="R10" s="57" t="inlineStr">
        <is>
          <t>【觀望】指標未達進場門檻</t>
        </is>
      </c>
      <c r="S10" s="57">
        <f>IFERROR(INDEX('Data_v9最新'!$B:$B,MATCH($A10,'Data_v9最新'!$A:$A,0)),"")</f>
        <v/>
      </c>
      <c r="T10" s="57">
        <f>IFERROR(INDEX('Data_v9最新'!$D:$D,MATCH($A10,'Data_v9最新'!$A:$A,0)),"")</f>
        <v/>
      </c>
      <c r="U10" s="57">
        <f>IFERROR(INDEX('Data_v9最新'!$E:$E,MATCH($A10,'Data_v9最新'!$A:$A,0)),"")</f>
        <v/>
      </c>
      <c r="V10" s="57">
        <f>IFERROR(INDEX('Data_v9最新'!$F:$F,MATCH($A10,'Data_v9最新'!$A:$A,0)),"")</f>
        <v/>
      </c>
      <c r="W10" s="57">
        <f>IFERROR(INDEX('Data_v9最新'!$G:$G,MATCH($A10,'Data_v9最新'!$A:$A,0)),"")</f>
        <v/>
      </c>
      <c r="X10" s="57">
        <f>IFERROR(INDEX('Data_v9最新'!$H:$H,MATCH($A10,'Data_v9最新'!$A:$A,0)),"")</f>
        <v/>
      </c>
      <c r="Y10" s="57">
        <f>IFERROR(INDEX('Data_v9最新'!$I:$I,MATCH($A10,'Data_v9最新'!$A:$A,0)),"")</f>
        <v/>
      </c>
      <c r="Z10" s="57">
        <f>IFERROR(INDEX('Data_v9最新'!$L:$L,MATCH($A10,'Data_v9最新'!$A:$A,0)),"")</f>
        <v/>
      </c>
      <c r="AA10" s="57">
        <f>IFERROR(INDEX('Data_v9最新'!$M:$M,MATCH($A10,'Data_v9最新'!$A:$A,0)),"")</f>
        <v/>
      </c>
      <c r="AB10" s="57">
        <f>IFERROR(INDEX('Data_v9最新'!$AE:$AE,MATCH($A10,'Data_v9最新'!$A:$A,0)),"")</f>
        <v/>
      </c>
      <c r="AC10" s="57">
        <f>IF(OR($S10="",$AB10=""),"",IF(AND($S10&gt;MAX($U10,$W10,$Y10,$AA10),$AB10="放量"),"🔺確認向上突破(放量)",IF($S10&gt;MAX($U10,$W10,$Y10,$AA10),"⚠疑似假突破(量縮)",IF(AND($S10&lt;MIN($T10,$V10,$X10,$Z10),$AB10="放量"),"🔻確認向下突破(放量)",IF($S10&lt;MIN($T10,$V10,$X10,$Z10),"⚠疑似假跌破(量縮)","區間整理")))))</f>
        <v/>
      </c>
    </row>
    <row r="11">
      <c r="A11" s="57" t="inlineStr">
        <is>
          <t>USDJPY</t>
        </is>
      </c>
      <c r="B11" s="57" t="inlineStr">
        <is>
          <t>M5</t>
        </is>
      </c>
      <c r="C11" s="57" t="inlineStr">
        <is>
          <t>M5 策略 B (回檔承接)</t>
        </is>
      </c>
      <c r="D11" s="57" t="inlineStr">
        <is>
          <t>XAUUSD</t>
        </is>
      </c>
      <c r="E11" s="57" t="inlineStr">
        <is>
          <t>1 : 0.30</t>
        </is>
      </c>
      <c r="F11" s="57" t="inlineStr">
        <is>
          <t>反向(負相關)</t>
        </is>
      </c>
      <c r="G11" s="57" t="inlineStr">
        <is>
          <t>9 / 42 EMA</t>
        </is>
      </c>
      <c r="H11" s="57" t="inlineStr">
        <is>
          <t>MACD(10,24,8)</t>
        </is>
      </c>
      <c r="I11" s="57" t="inlineStr">
        <is>
          <t>RSI(12, 28/72)</t>
        </is>
      </c>
      <c r="J11" s="57" t="inlineStr">
        <is>
          <t>KD(10,3,3)</t>
        </is>
      </c>
      <c r="K11" s="57" t="inlineStr">
        <is>
          <t>PSY(12, 18/82)</t>
        </is>
      </c>
      <c r="L11" s="57" t="inlineStr">
        <is>
          <t>CCI(15, ±120)</t>
        </is>
      </c>
      <c r="M11" s="57" t="inlineStr">
        <is>
          <t>SL:110點 / TP:290點</t>
        </is>
      </c>
      <c r="N11" s="57" t="inlineStr">
        <is>
          <t>BB(20, 2.0)</t>
        </is>
      </c>
      <c r="O11" s="57" t="inlineStr">
        <is>
          <t>Keltner(22, 1.8)</t>
        </is>
      </c>
      <c r="P11" s="57" t="n">
        <v>0.791</v>
      </c>
      <c r="Q11" s="57" t="n">
        <v>2.75</v>
      </c>
      <c r="R11" s="57" t="inlineStr">
        <is>
          <t>【強勢多頭】觸發多單進場</t>
        </is>
      </c>
      <c r="S11" s="57">
        <f>IFERROR(INDEX('Data_v9最新'!$B:$B,MATCH($A11,'Data_v9最新'!$A:$A,0)),"")</f>
        <v/>
      </c>
      <c r="T11" s="57">
        <f>IFERROR(INDEX('Data_v9最新'!$D:$D,MATCH($A11,'Data_v9最新'!$A:$A,0)),"")</f>
        <v/>
      </c>
      <c r="U11" s="57">
        <f>IFERROR(INDEX('Data_v9最新'!$E:$E,MATCH($A11,'Data_v9最新'!$A:$A,0)),"")</f>
        <v/>
      </c>
      <c r="V11" s="57">
        <f>IFERROR(INDEX('Data_v9最新'!$F:$F,MATCH($A11,'Data_v9最新'!$A:$A,0)),"")</f>
        <v/>
      </c>
      <c r="W11" s="57">
        <f>IFERROR(INDEX('Data_v9最新'!$G:$G,MATCH($A11,'Data_v9最新'!$A:$A,0)),"")</f>
        <v/>
      </c>
      <c r="X11" s="57">
        <f>IFERROR(INDEX('Data_v9最新'!$H:$H,MATCH($A11,'Data_v9最新'!$A:$A,0)),"")</f>
        <v/>
      </c>
      <c r="Y11" s="57">
        <f>IFERROR(INDEX('Data_v9最新'!$I:$I,MATCH($A11,'Data_v9最新'!$A:$A,0)),"")</f>
        <v/>
      </c>
      <c r="Z11" s="57">
        <f>IFERROR(INDEX('Data_v9最新'!$L:$L,MATCH($A11,'Data_v9最新'!$A:$A,0)),"")</f>
        <v/>
      </c>
      <c r="AA11" s="57">
        <f>IFERROR(INDEX('Data_v9最新'!$M:$M,MATCH($A11,'Data_v9最新'!$A:$A,0)),"")</f>
        <v/>
      </c>
      <c r="AB11" s="57">
        <f>IFERROR(INDEX('Data_v9最新'!$AE:$AE,MATCH($A11,'Data_v9最新'!$A:$A,0)),"")</f>
        <v/>
      </c>
      <c r="AC11" s="57">
        <f>IF(OR($S11="",$AB11=""),"",IF(AND($S11&gt;MAX($U11,$W11,$Y11,$AA11),$AB11="放量"),"🔺確認向上突破(放量)",IF($S11&gt;MAX($U11,$W11,$Y11,$AA11),"⚠疑似假突破(量縮)",IF(AND($S11&lt;MIN($T11,$V11,$X11,$Z11),$AB11="放量"),"🔻確認向下突破(放量)",IF($S11&lt;MIN($T11,$V11,$X11,$Z11),"⚠疑似假跌破(量縮)","區間整理")))))</f>
        <v/>
      </c>
    </row>
    <row r="12">
      <c r="A12" s="57" t="inlineStr">
        <is>
          <t>USDJPY</t>
        </is>
      </c>
      <c r="B12" s="57" t="inlineStr">
        <is>
          <t>M5</t>
        </is>
      </c>
      <c r="C12" s="57" t="inlineStr">
        <is>
          <t>M5 策略 A (動態突破)</t>
        </is>
      </c>
      <c r="D12" s="57" t="inlineStr">
        <is>
          <t>XAUUSD</t>
        </is>
      </c>
      <c r="E12" s="57" t="inlineStr">
        <is>
          <t>1 : 0.30</t>
        </is>
      </c>
      <c r="F12" s="57" t="inlineStr">
        <is>
          <t>反向(負相關)</t>
        </is>
      </c>
      <c r="G12" s="57" t="inlineStr">
        <is>
          <t>5 / 22 EMA</t>
        </is>
      </c>
      <c r="H12" s="57" t="inlineStr">
        <is>
          <t>MACD(12,26,9)</t>
        </is>
      </c>
      <c r="I12" s="57" t="inlineStr">
        <is>
          <t>RSI(14, 25/75)</t>
        </is>
      </c>
      <c r="J12" s="57" t="inlineStr">
        <is>
          <t>KD(8,3,3)</t>
        </is>
      </c>
      <c r="K12" s="57" t="inlineStr">
        <is>
          <t>PSY(10, 20/80)</t>
        </is>
      </c>
      <c r="L12" s="57" t="inlineStr">
        <is>
          <t>CCI(12, ±140)</t>
        </is>
      </c>
      <c r="M12" s="57" t="inlineStr">
        <is>
          <t>SL:115點 / TP:270點</t>
        </is>
      </c>
      <c r="N12" s="57" t="inlineStr">
        <is>
          <t>BB(20, 2.1)</t>
        </is>
      </c>
      <c r="O12" s="57" t="inlineStr">
        <is>
          <t>Keltner(18, 1.6)</t>
        </is>
      </c>
      <c r="P12" s="57" t="n">
        <v>0.751</v>
      </c>
      <c r="Q12" s="57" t="n">
        <v>2.53</v>
      </c>
      <c r="R12" s="57" t="inlineStr">
        <is>
          <t>【強勢多頭】觸發多單進場</t>
        </is>
      </c>
      <c r="S12" s="57">
        <f>IFERROR(INDEX('Data_v9最新'!$B:$B,MATCH($A12,'Data_v9最新'!$A:$A,0)),"")</f>
        <v/>
      </c>
      <c r="T12" s="57">
        <f>IFERROR(INDEX('Data_v9最新'!$D:$D,MATCH($A12,'Data_v9最新'!$A:$A,0)),"")</f>
        <v/>
      </c>
      <c r="U12" s="57">
        <f>IFERROR(INDEX('Data_v9最新'!$E:$E,MATCH($A12,'Data_v9最新'!$A:$A,0)),"")</f>
        <v/>
      </c>
      <c r="V12" s="57">
        <f>IFERROR(INDEX('Data_v9最新'!$F:$F,MATCH($A12,'Data_v9最新'!$A:$A,0)),"")</f>
        <v/>
      </c>
      <c r="W12" s="57">
        <f>IFERROR(INDEX('Data_v9最新'!$G:$G,MATCH($A12,'Data_v9最新'!$A:$A,0)),"")</f>
        <v/>
      </c>
      <c r="X12" s="57">
        <f>IFERROR(INDEX('Data_v9最新'!$H:$H,MATCH($A12,'Data_v9最新'!$A:$A,0)),"")</f>
        <v/>
      </c>
      <c r="Y12" s="57">
        <f>IFERROR(INDEX('Data_v9最新'!$I:$I,MATCH($A12,'Data_v9最新'!$A:$A,0)),"")</f>
        <v/>
      </c>
      <c r="Z12" s="57">
        <f>IFERROR(INDEX('Data_v9最新'!$L:$L,MATCH($A12,'Data_v9最新'!$A:$A,0)),"")</f>
        <v/>
      </c>
      <c r="AA12" s="57">
        <f>IFERROR(INDEX('Data_v9最新'!$M:$M,MATCH($A12,'Data_v9最新'!$A:$A,0)),"")</f>
        <v/>
      </c>
      <c r="AB12" s="57">
        <f>IFERROR(INDEX('Data_v9最新'!$AE:$AE,MATCH($A12,'Data_v9最新'!$A:$A,0)),"")</f>
        <v/>
      </c>
      <c r="AC12" s="57">
        <f>IF(OR($S12="",$AB12=""),"",IF(AND($S12&gt;MAX($U12,$W12,$Y12,$AA12),$AB12="放量"),"🔺確認向上突破(放量)",IF($S12&gt;MAX($U12,$W12,$Y12,$AA12),"⚠疑似假突破(量縮)",IF(AND($S12&lt;MIN($T12,$V12,$X12,$Z12),$AB12="放量"),"🔻確認向下突破(放量)",IF($S12&lt;MIN($T12,$V12,$X12,$Z12),"⚠疑似假跌破(量縮)","區間整理")))))</f>
        <v/>
      </c>
    </row>
    <row r="13">
      <c r="A13" s="57" t="inlineStr">
        <is>
          <t>USDCHF</t>
        </is>
      </c>
      <c r="B13" s="57" t="inlineStr">
        <is>
          <t>M5</t>
        </is>
      </c>
      <c r="C13" s="57" t="inlineStr">
        <is>
          <t>M5 策略 B (回檔承接)</t>
        </is>
      </c>
      <c r="D13" s="57" t="inlineStr">
        <is>
          <t>EURUSD</t>
        </is>
      </c>
      <c r="E13" s="57" t="inlineStr">
        <is>
          <t>1 : 1.00</t>
        </is>
      </c>
      <c r="F13" s="57" t="inlineStr">
        <is>
          <t>反向(負相關)</t>
        </is>
      </c>
      <c r="G13" s="57" t="inlineStr">
        <is>
          <t>8 / 36 EMA</t>
        </is>
      </c>
      <c r="H13" s="57" t="inlineStr">
        <is>
          <t>MACD(10,22,8)</t>
        </is>
      </c>
      <c r="I13" s="57" t="inlineStr">
        <is>
          <t>RSI(12, 30/70)</t>
        </is>
      </c>
      <c r="J13" s="57" t="inlineStr">
        <is>
          <t>KD(8,3,3)</t>
        </is>
      </c>
      <c r="K13" s="57" t="inlineStr">
        <is>
          <t>PSY(10, 25/75)</t>
        </is>
      </c>
      <c r="L13" s="57" t="inlineStr">
        <is>
          <t>CCI(12, ±100)</t>
        </is>
      </c>
      <c r="M13" s="57" t="inlineStr">
        <is>
          <t>SL:75點 / TP:185點</t>
        </is>
      </c>
      <c r="N13" s="57" t="inlineStr">
        <is>
          <t>BB(18, 1.8)</t>
        </is>
      </c>
      <c r="O13" s="57" t="inlineStr">
        <is>
          <t>Keltner(16, 1.5)</t>
        </is>
      </c>
      <c r="P13" s="57" t="n">
        <v>0.759</v>
      </c>
      <c r="Q13" s="57" t="n">
        <v>2.44</v>
      </c>
      <c r="R13" s="57" t="inlineStr">
        <is>
          <t>【觀望】指標未達進場門檻</t>
        </is>
      </c>
      <c r="S13" s="57">
        <f>IFERROR(INDEX('Data_v9最新'!$B:$B,MATCH($A13,'Data_v9最新'!$A:$A,0)),"")</f>
        <v/>
      </c>
      <c r="T13" s="57">
        <f>IFERROR(INDEX('Data_v9最新'!$D:$D,MATCH($A13,'Data_v9最新'!$A:$A,0)),"")</f>
        <v/>
      </c>
      <c r="U13" s="57">
        <f>IFERROR(INDEX('Data_v9最新'!$E:$E,MATCH($A13,'Data_v9最新'!$A:$A,0)),"")</f>
        <v/>
      </c>
      <c r="V13" s="57">
        <f>IFERROR(INDEX('Data_v9最新'!$F:$F,MATCH($A13,'Data_v9最新'!$A:$A,0)),"")</f>
        <v/>
      </c>
      <c r="W13" s="57">
        <f>IFERROR(INDEX('Data_v9最新'!$G:$G,MATCH($A13,'Data_v9最新'!$A:$A,0)),"")</f>
        <v/>
      </c>
      <c r="X13" s="57">
        <f>IFERROR(INDEX('Data_v9最新'!$H:$H,MATCH($A13,'Data_v9最新'!$A:$A,0)),"")</f>
        <v/>
      </c>
      <c r="Y13" s="57">
        <f>IFERROR(INDEX('Data_v9最新'!$I:$I,MATCH($A13,'Data_v9最新'!$A:$A,0)),"")</f>
        <v/>
      </c>
      <c r="Z13" s="57">
        <f>IFERROR(INDEX('Data_v9最新'!$L:$L,MATCH($A13,'Data_v9最新'!$A:$A,0)),"")</f>
        <v/>
      </c>
      <c r="AA13" s="57">
        <f>IFERROR(INDEX('Data_v9最新'!$M:$M,MATCH($A13,'Data_v9最新'!$A:$A,0)),"")</f>
        <v/>
      </c>
      <c r="AB13" s="57">
        <f>IFERROR(INDEX('Data_v9最新'!$AE:$AE,MATCH($A13,'Data_v9最新'!$A:$A,0)),"")</f>
        <v/>
      </c>
      <c r="AC13" s="57">
        <f>IF(OR($S13="",$AB13=""),"",IF(AND($S13&gt;MAX($U13,$W13,$Y13,$AA13),$AB13="放量"),"🔺確認向上突破(放量)",IF($S13&gt;MAX($U13,$W13,$Y13,$AA13),"⚠疑似假突破(量縮)",IF(AND($S13&lt;MIN($T13,$V13,$X13,$Z13),$AB13="放量"),"🔻確認向下突破(放量)",IF($S13&lt;MIN($T13,$V13,$X13,$Z13),"⚠疑似假跌破(量縮)","區間整理")))))</f>
        <v/>
      </c>
    </row>
    <row r="14">
      <c r="A14" s="57" t="inlineStr">
        <is>
          <t>USDCHF</t>
        </is>
      </c>
      <c r="B14" s="57" t="inlineStr">
        <is>
          <t>M5</t>
        </is>
      </c>
      <c r="C14" s="57" t="inlineStr">
        <is>
          <t>M5 策略 A (動態突破)</t>
        </is>
      </c>
      <c r="D14" s="57" t="inlineStr">
        <is>
          <t>EURUSD</t>
        </is>
      </c>
      <c r="E14" s="57" t="inlineStr">
        <is>
          <t>1 : 1.00</t>
        </is>
      </c>
      <c r="F14" s="57" t="inlineStr">
        <is>
          <t>反向(負相關)</t>
        </is>
      </c>
      <c r="G14" s="57" t="inlineStr">
        <is>
          <t>4 / 18 EMA</t>
        </is>
      </c>
      <c r="H14" s="57" t="inlineStr">
        <is>
          <t>MACD(8,18,6)</t>
        </is>
      </c>
      <c r="I14" s="57" t="inlineStr">
        <is>
          <t>RSI(10, 32/68)</t>
        </is>
      </c>
      <c r="J14" s="57" t="inlineStr">
        <is>
          <t>KD(6,3,3)</t>
        </is>
      </c>
      <c r="K14" s="57" t="inlineStr">
        <is>
          <t>PSY(8, 20/80)</t>
        </is>
      </c>
      <c r="L14" s="57" t="inlineStr">
        <is>
          <t>CCI(10, ±110)</t>
        </is>
      </c>
      <c r="M14" s="57" t="inlineStr">
        <is>
          <t>SL:80點 / TP:170點</t>
        </is>
      </c>
      <c r="N14" s="57" t="inlineStr">
        <is>
          <t>BB(16, 1.7)</t>
        </is>
      </c>
      <c r="O14" s="57" t="inlineStr">
        <is>
          <t>Keltner(14, 1.3)</t>
        </is>
      </c>
      <c r="P14" s="57" t="n">
        <v>0.721</v>
      </c>
      <c r="Q14" s="57" t="n">
        <v>2.29</v>
      </c>
      <c r="R14" s="57" t="inlineStr">
        <is>
          <t>【觀望】指標未達進場門檻</t>
        </is>
      </c>
      <c r="S14" s="57">
        <f>IFERROR(INDEX('Data_v9最新'!$B:$B,MATCH($A14,'Data_v9最新'!$A:$A,0)),"")</f>
        <v/>
      </c>
      <c r="T14" s="57">
        <f>IFERROR(INDEX('Data_v9最新'!$D:$D,MATCH($A14,'Data_v9最新'!$A:$A,0)),"")</f>
        <v/>
      </c>
      <c r="U14" s="57">
        <f>IFERROR(INDEX('Data_v9最新'!$E:$E,MATCH($A14,'Data_v9最新'!$A:$A,0)),"")</f>
        <v/>
      </c>
      <c r="V14" s="57">
        <f>IFERROR(INDEX('Data_v9最新'!$F:$F,MATCH($A14,'Data_v9最新'!$A:$A,0)),"")</f>
        <v/>
      </c>
      <c r="W14" s="57">
        <f>IFERROR(INDEX('Data_v9最新'!$G:$G,MATCH($A14,'Data_v9最新'!$A:$A,0)),"")</f>
        <v/>
      </c>
      <c r="X14" s="57">
        <f>IFERROR(INDEX('Data_v9最新'!$H:$H,MATCH($A14,'Data_v9最新'!$A:$A,0)),"")</f>
        <v/>
      </c>
      <c r="Y14" s="57">
        <f>IFERROR(INDEX('Data_v9最新'!$I:$I,MATCH($A14,'Data_v9最新'!$A:$A,0)),"")</f>
        <v/>
      </c>
      <c r="Z14" s="57">
        <f>IFERROR(INDEX('Data_v9最新'!$L:$L,MATCH($A14,'Data_v9最新'!$A:$A,0)),"")</f>
        <v/>
      </c>
      <c r="AA14" s="57">
        <f>IFERROR(INDEX('Data_v9最新'!$M:$M,MATCH($A14,'Data_v9最新'!$A:$A,0)),"")</f>
        <v/>
      </c>
      <c r="AB14" s="57">
        <f>IFERROR(INDEX('Data_v9最新'!$AE:$AE,MATCH($A14,'Data_v9最新'!$A:$A,0)),"")</f>
        <v/>
      </c>
      <c r="AC14" s="57">
        <f>IF(OR($S14="",$AB14=""),"",IF(AND($S14&gt;MAX($U14,$W14,$Y14,$AA14),$AB14="放量"),"🔺確認向上突破(放量)",IF($S14&gt;MAX($U14,$W14,$Y14,$AA14),"⚠疑似假突破(量縮)",IF(AND($S14&lt;MIN($T14,$V14,$X14,$Z14),$AB14="放量"),"🔻確認向下突破(放量)",IF($S14&lt;MIN($T14,$V14,$X14,$Z14),"⚠疑似假跌破(量縮)","區間整理")))))</f>
        <v/>
      </c>
    </row>
    <row r="15">
      <c r="A15" s="57" t="inlineStr">
        <is>
          <t>XAUUSD</t>
        </is>
      </c>
      <c r="B15" s="57" t="inlineStr">
        <is>
          <t>M5</t>
        </is>
      </c>
      <c r="C15" s="57" t="inlineStr">
        <is>
          <t>M5 策略 B (回檔承接)</t>
        </is>
      </c>
      <c r="D15" s="57" t="inlineStr">
        <is>
          <t>XAGUSD</t>
        </is>
      </c>
      <c r="E15" s="57" t="inlineStr">
        <is>
          <t>1 : 0.65</t>
        </is>
      </c>
      <c r="F15" s="57" t="inlineStr">
        <is>
          <t>同向(正相關)</t>
        </is>
      </c>
      <c r="G15" s="57" t="inlineStr">
        <is>
          <t>12 / 55 EMA</t>
        </is>
      </c>
      <c r="H15" s="57" t="inlineStr">
        <is>
          <t>MACD(12,28,9)</t>
        </is>
      </c>
      <c r="I15" s="57" t="inlineStr">
        <is>
          <t>RSI(14, 20/80)</t>
        </is>
      </c>
      <c r="J15" s="57" t="inlineStr">
        <is>
          <t>KD(12,3,3)</t>
        </is>
      </c>
      <c r="K15" s="57" t="inlineStr">
        <is>
          <t>PSY(14, 15/85)</t>
        </is>
      </c>
      <c r="L15" s="57" t="inlineStr">
        <is>
          <t>CCI(18, ±150)</t>
        </is>
      </c>
      <c r="M15" s="57" t="inlineStr">
        <is>
          <t>SL:180點 / TP:480點</t>
        </is>
      </c>
      <c r="N15" s="57" t="inlineStr">
        <is>
          <t>BB(22, 2.2)</t>
        </is>
      </c>
      <c r="O15" s="57" t="inlineStr">
        <is>
          <t>Keltner(25, 2.0)</t>
        </is>
      </c>
      <c r="P15" s="57" t="n">
        <v>0.8120000000000001</v>
      </c>
      <c r="Q15" s="57" t="n">
        <v>2.88</v>
      </c>
      <c r="R15" s="57" t="inlineStr">
        <is>
          <t>【強勢多頭】觸發多單進場</t>
        </is>
      </c>
      <c r="S15" s="57">
        <f>IFERROR(INDEX('Data_v9最新'!$B:$B,MATCH($A15,'Data_v9最新'!$A:$A,0)),"")</f>
        <v/>
      </c>
      <c r="T15" s="57">
        <f>IFERROR(INDEX('Data_v9最新'!$D:$D,MATCH($A15,'Data_v9最新'!$A:$A,0)),"")</f>
        <v/>
      </c>
      <c r="U15" s="57">
        <f>IFERROR(INDEX('Data_v9最新'!$E:$E,MATCH($A15,'Data_v9最新'!$A:$A,0)),"")</f>
        <v/>
      </c>
      <c r="V15" s="57">
        <f>IFERROR(INDEX('Data_v9最新'!$F:$F,MATCH($A15,'Data_v9最新'!$A:$A,0)),"")</f>
        <v/>
      </c>
      <c r="W15" s="57">
        <f>IFERROR(INDEX('Data_v9最新'!$G:$G,MATCH($A15,'Data_v9最新'!$A:$A,0)),"")</f>
        <v/>
      </c>
      <c r="X15" s="57">
        <f>IFERROR(INDEX('Data_v9最新'!$H:$H,MATCH($A15,'Data_v9最新'!$A:$A,0)),"")</f>
        <v/>
      </c>
      <c r="Y15" s="57">
        <f>IFERROR(INDEX('Data_v9最新'!$I:$I,MATCH($A15,'Data_v9最新'!$A:$A,0)),"")</f>
        <v/>
      </c>
      <c r="Z15" s="57">
        <f>IFERROR(INDEX('Data_v9最新'!$L:$L,MATCH($A15,'Data_v9最新'!$A:$A,0)),"")</f>
        <v/>
      </c>
      <c r="AA15" s="57">
        <f>IFERROR(INDEX('Data_v9最新'!$M:$M,MATCH($A15,'Data_v9最新'!$A:$A,0)),"")</f>
        <v/>
      </c>
      <c r="AB15" s="57">
        <f>IFERROR(INDEX('Data_v9最新'!$AE:$AE,MATCH($A15,'Data_v9最新'!$A:$A,0)),"")</f>
        <v/>
      </c>
      <c r="AC15" s="57">
        <f>IF(OR($S15="",$AB15=""),"",IF(AND($S15&gt;MAX($U15,$W15,$Y15,$AA15),$AB15="放量"),"🔺確認向上突破(放量)",IF($S15&gt;MAX($U15,$W15,$Y15,$AA15),"⚠疑似假突破(量縮)",IF(AND($S15&lt;MIN($T15,$V15,$X15,$Z15),$AB15="放量"),"🔻確認向下突破(放量)",IF($S15&lt;MIN($T15,$V15,$X15,$Z15),"⚠疑似假跌破(量縮)","區間整理")))))</f>
        <v/>
      </c>
    </row>
    <row r="16">
      <c r="A16" s="57" t="inlineStr">
        <is>
          <t>XAUUSD</t>
        </is>
      </c>
      <c r="B16" s="57" t="inlineStr">
        <is>
          <t>M5</t>
        </is>
      </c>
      <c r="C16" s="57" t="inlineStr">
        <is>
          <t>M5 策略 A (動態突破)</t>
        </is>
      </c>
      <c r="D16" s="57" t="inlineStr">
        <is>
          <t>XAGUSD</t>
        </is>
      </c>
      <c r="E16" s="57" t="inlineStr">
        <is>
          <t>1 : 0.65</t>
        </is>
      </c>
      <c r="F16" s="57" t="inlineStr">
        <is>
          <t>同向(正相關)</t>
        </is>
      </c>
      <c r="G16" s="57" t="inlineStr">
        <is>
          <t>6 / 28 EMA</t>
        </is>
      </c>
      <c r="H16" s="57" t="inlineStr">
        <is>
          <t>MACD(12,26,9)</t>
        </is>
      </c>
      <c r="I16" s="57" t="inlineStr">
        <is>
          <t>RSI(14, 22/78)</t>
        </is>
      </c>
      <c r="J16" s="57" t="inlineStr">
        <is>
          <t>KD(10,3,3)</t>
        </is>
      </c>
      <c r="K16" s="57" t="inlineStr">
        <is>
          <t>PSY(12, 18/82)</t>
        </is>
      </c>
      <c r="L16" s="57" t="inlineStr">
        <is>
          <t>CCI(15, ±160)</t>
        </is>
      </c>
      <c r="M16" s="57" t="inlineStr">
        <is>
          <t>SL:190點 / TP:450點</t>
        </is>
      </c>
      <c r="N16" s="57" t="inlineStr">
        <is>
          <t>BB(22, 2.2)</t>
        </is>
      </c>
      <c r="O16" s="57" t="inlineStr">
        <is>
          <t>Keltner(20, 1.8)</t>
        </is>
      </c>
      <c r="P16" s="57" t="n">
        <v>0.769</v>
      </c>
      <c r="Q16" s="57" t="n">
        <v>2.61</v>
      </c>
      <c r="R16" s="57" t="inlineStr">
        <is>
          <t>【強勢多頭】觸發多單進場</t>
        </is>
      </c>
      <c r="S16" s="57">
        <f>IFERROR(INDEX('Data_v9最新'!$B:$B,MATCH($A16,'Data_v9最新'!$A:$A,0)),"")</f>
        <v/>
      </c>
      <c r="T16" s="57">
        <f>IFERROR(INDEX('Data_v9最新'!$D:$D,MATCH($A16,'Data_v9最新'!$A:$A,0)),"")</f>
        <v/>
      </c>
      <c r="U16" s="57">
        <f>IFERROR(INDEX('Data_v9最新'!$E:$E,MATCH($A16,'Data_v9最新'!$A:$A,0)),"")</f>
        <v/>
      </c>
      <c r="V16" s="57">
        <f>IFERROR(INDEX('Data_v9最新'!$F:$F,MATCH($A16,'Data_v9最新'!$A:$A,0)),"")</f>
        <v/>
      </c>
      <c r="W16" s="57">
        <f>IFERROR(INDEX('Data_v9最新'!$G:$G,MATCH($A16,'Data_v9最新'!$A:$A,0)),"")</f>
        <v/>
      </c>
      <c r="X16" s="57">
        <f>IFERROR(INDEX('Data_v9最新'!$H:$H,MATCH($A16,'Data_v9最新'!$A:$A,0)),"")</f>
        <v/>
      </c>
      <c r="Y16" s="57">
        <f>IFERROR(INDEX('Data_v9最新'!$I:$I,MATCH($A16,'Data_v9最新'!$A:$A,0)),"")</f>
        <v/>
      </c>
      <c r="Z16" s="57">
        <f>IFERROR(INDEX('Data_v9最新'!$L:$L,MATCH($A16,'Data_v9最新'!$A:$A,0)),"")</f>
        <v/>
      </c>
      <c r="AA16" s="57">
        <f>IFERROR(INDEX('Data_v9最新'!$M:$M,MATCH($A16,'Data_v9最新'!$A:$A,0)),"")</f>
        <v/>
      </c>
      <c r="AB16" s="57">
        <f>IFERROR(INDEX('Data_v9最新'!$AE:$AE,MATCH($A16,'Data_v9最新'!$A:$A,0)),"")</f>
        <v/>
      </c>
      <c r="AC16" s="57">
        <f>IF(OR($S16="",$AB16=""),"",IF(AND($S16&gt;MAX($U16,$W16,$Y16,$AA16),$AB16="放量"),"🔺確認向上突破(放量)",IF($S16&gt;MAX($U16,$W16,$Y16,$AA16),"⚠疑似假突破(量縮)",IF(AND($S16&lt;MIN($T16,$V16,$X16,$Z16),$AB16="放量"),"🔻確認向下突破(放量)",IF($S16&lt;MIN($T16,$V16,$X16,$Z16),"⚠疑似假跌破(量縮)","區間整理")))))</f>
        <v/>
      </c>
    </row>
    <row r="17">
      <c r="A17" s="57" t="inlineStr">
        <is>
          <t>XAGUSD</t>
        </is>
      </c>
      <c r="B17" s="57" t="inlineStr">
        <is>
          <t>M5</t>
        </is>
      </c>
      <c r="C17" s="57" t="inlineStr">
        <is>
          <t>M5 策略 B (回檔承接)</t>
        </is>
      </c>
      <c r="D17" s="57" t="inlineStr">
        <is>
          <t>XAUUSD</t>
        </is>
      </c>
      <c r="E17" s="57" t="inlineStr">
        <is>
          <t>1 : 1.50</t>
        </is>
      </c>
      <c r="F17" s="57" t="inlineStr">
        <is>
          <t>同向(正相關)</t>
        </is>
      </c>
      <c r="G17" s="57" t="inlineStr">
        <is>
          <t>10 / 45 EMA</t>
        </is>
      </c>
      <c r="H17" s="57" t="inlineStr">
        <is>
          <t>MACD(10,24,8)</t>
        </is>
      </c>
      <c r="I17" s="57" t="inlineStr">
        <is>
          <t>RSI(12, 25/75)</t>
        </is>
      </c>
      <c r="J17" s="57" t="inlineStr">
        <is>
          <t>KD(10,3,3)</t>
        </is>
      </c>
      <c r="K17" s="57" t="inlineStr">
        <is>
          <t>PSY(12, 20/80)</t>
        </is>
      </c>
      <c r="L17" s="57" t="inlineStr">
        <is>
          <t>CCI(15, ±130)</t>
        </is>
      </c>
      <c r="M17" s="57" t="inlineStr">
        <is>
          <t>SL:120點 / TP:310點</t>
        </is>
      </c>
      <c r="N17" s="57" t="inlineStr">
        <is>
          <t>BB(20, 2.0)</t>
        </is>
      </c>
      <c r="O17" s="57" t="inlineStr">
        <is>
          <t>Keltner(20, 1.8)</t>
        </is>
      </c>
      <c r="P17" s="57" t="n">
        <v>0.785</v>
      </c>
      <c r="Q17" s="57" t="n">
        <v>2.71</v>
      </c>
      <c r="R17" s="57" t="inlineStr">
        <is>
          <t>【強勢多頭】觸發多單進場</t>
        </is>
      </c>
      <c r="S17" s="57">
        <f>IFERROR(INDEX('Data_v9最新'!$B:$B,MATCH($A17,'Data_v9最新'!$A:$A,0)),"")</f>
        <v/>
      </c>
      <c r="T17" s="57">
        <f>IFERROR(INDEX('Data_v9最新'!$D:$D,MATCH($A17,'Data_v9最新'!$A:$A,0)),"")</f>
        <v/>
      </c>
      <c r="U17" s="57">
        <f>IFERROR(INDEX('Data_v9最新'!$E:$E,MATCH($A17,'Data_v9最新'!$A:$A,0)),"")</f>
        <v/>
      </c>
      <c r="V17" s="57">
        <f>IFERROR(INDEX('Data_v9最新'!$F:$F,MATCH($A17,'Data_v9最新'!$A:$A,0)),"")</f>
        <v/>
      </c>
      <c r="W17" s="57">
        <f>IFERROR(INDEX('Data_v9最新'!$G:$G,MATCH($A17,'Data_v9最新'!$A:$A,0)),"")</f>
        <v/>
      </c>
      <c r="X17" s="57">
        <f>IFERROR(INDEX('Data_v9最新'!$H:$H,MATCH($A17,'Data_v9最新'!$A:$A,0)),"")</f>
        <v/>
      </c>
      <c r="Y17" s="57">
        <f>IFERROR(INDEX('Data_v9最新'!$I:$I,MATCH($A17,'Data_v9最新'!$A:$A,0)),"")</f>
        <v/>
      </c>
      <c r="Z17" s="57">
        <f>IFERROR(INDEX('Data_v9最新'!$L:$L,MATCH($A17,'Data_v9最新'!$A:$A,0)),"")</f>
        <v/>
      </c>
      <c r="AA17" s="57">
        <f>IFERROR(INDEX('Data_v9最新'!$M:$M,MATCH($A17,'Data_v9最新'!$A:$A,0)),"")</f>
        <v/>
      </c>
      <c r="AB17" s="57">
        <f>IFERROR(INDEX('Data_v9最新'!$AE:$AE,MATCH($A17,'Data_v9最新'!$A:$A,0)),"")</f>
        <v/>
      </c>
      <c r="AC17" s="57">
        <f>IF(OR($S17="",$AB17=""),"",IF(AND($S17&gt;MAX($U17,$W17,$Y17,$AA17),$AB17="放量"),"🔺確認向上突破(放量)",IF($S17&gt;MAX($U17,$W17,$Y17,$AA17),"⚠疑似假突破(量縮)",IF(AND($S17&lt;MIN($T17,$V17,$X17,$Z17),$AB17="放量"),"🔻確認向下突破(放量)",IF($S17&lt;MIN($T17,$V17,$X17,$Z17),"⚠疑似假跌破(量縮)","區間整理")))))</f>
        <v/>
      </c>
    </row>
    <row r="18">
      <c r="A18" s="57" t="inlineStr">
        <is>
          <t>XAGUSD</t>
        </is>
      </c>
      <c r="B18" s="57" t="inlineStr">
        <is>
          <t>M5</t>
        </is>
      </c>
      <c r="C18" s="57" t="inlineStr">
        <is>
          <t>M5 策略 A (動態突破)</t>
        </is>
      </c>
      <c r="D18" s="57" t="inlineStr">
        <is>
          <t>XAUUSD</t>
        </is>
      </c>
      <c r="E18" s="57" t="inlineStr">
        <is>
          <t>1 : 1.50</t>
        </is>
      </c>
      <c r="F18" s="57" t="inlineStr">
        <is>
          <t>同向(正相關)</t>
        </is>
      </c>
      <c r="G18" s="57" t="inlineStr">
        <is>
          <t>5 / 22 EMA</t>
        </is>
      </c>
      <c r="H18" s="57" t="inlineStr">
        <is>
          <t>MACD(10,22,8)</t>
        </is>
      </c>
      <c r="I18" s="57" t="inlineStr">
        <is>
          <t>RSI(12, 25/75)</t>
        </is>
      </c>
      <c r="J18" s="57" t="inlineStr">
        <is>
          <t>KD(8,3,3)</t>
        </is>
      </c>
      <c r="K18" s="57" t="inlineStr">
        <is>
          <t>PSY(10, 22/78)</t>
        </is>
      </c>
      <c r="L18" s="57" t="inlineStr">
        <is>
          <t>CCI(12, ±140)</t>
        </is>
      </c>
      <c r="M18" s="57" t="inlineStr">
        <is>
          <t>SL:125點 / TP:290點</t>
        </is>
      </c>
      <c r="N18" s="57" t="inlineStr">
        <is>
          <t>BB(18, 1.9)</t>
        </is>
      </c>
      <c r="O18" s="57" t="inlineStr">
        <is>
          <t>Keltner(18, 1.6)</t>
        </is>
      </c>
      <c r="P18" s="57" t="n">
        <v>0.738</v>
      </c>
      <c r="Q18" s="57" t="n">
        <v>2.45</v>
      </c>
      <c r="R18" s="57" t="inlineStr">
        <is>
          <t>【強勢多頭】觸發多單進場</t>
        </is>
      </c>
      <c r="S18" s="57">
        <f>IFERROR(INDEX('Data_v9最新'!$B:$B,MATCH($A18,'Data_v9最新'!$A:$A,0)),"")</f>
        <v/>
      </c>
      <c r="T18" s="57">
        <f>IFERROR(INDEX('Data_v9最新'!$D:$D,MATCH($A18,'Data_v9最新'!$A:$A,0)),"")</f>
        <v/>
      </c>
      <c r="U18" s="57">
        <f>IFERROR(INDEX('Data_v9最新'!$E:$E,MATCH($A18,'Data_v9最新'!$A:$A,0)),"")</f>
        <v/>
      </c>
      <c r="V18" s="57">
        <f>IFERROR(INDEX('Data_v9最新'!$F:$F,MATCH($A18,'Data_v9最新'!$A:$A,0)),"")</f>
        <v/>
      </c>
      <c r="W18" s="57">
        <f>IFERROR(INDEX('Data_v9最新'!$G:$G,MATCH($A18,'Data_v9最新'!$A:$A,0)),"")</f>
        <v/>
      </c>
      <c r="X18" s="57">
        <f>IFERROR(INDEX('Data_v9最新'!$H:$H,MATCH($A18,'Data_v9最新'!$A:$A,0)),"")</f>
        <v/>
      </c>
      <c r="Y18" s="57">
        <f>IFERROR(INDEX('Data_v9最新'!$I:$I,MATCH($A18,'Data_v9最新'!$A:$A,0)),"")</f>
        <v/>
      </c>
      <c r="Z18" s="57">
        <f>IFERROR(INDEX('Data_v9最新'!$L:$L,MATCH($A18,'Data_v9最新'!$A:$A,0)),"")</f>
        <v/>
      </c>
      <c r="AA18" s="57">
        <f>IFERROR(INDEX('Data_v9最新'!$M:$M,MATCH($A18,'Data_v9最新'!$A:$A,0)),"")</f>
        <v/>
      </c>
      <c r="AB18" s="57">
        <f>IFERROR(INDEX('Data_v9最新'!$AE:$AE,MATCH($A18,'Data_v9最新'!$A:$A,0)),"")</f>
        <v/>
      </c>
      <c r="AC18" s="57">
        <f>IF(OR($S18="",$AB18=""),"",IF(AND($S18&gt;MAX($U18,$W18,$Y18,$AA18),$AB18="放量"),"🔺確認向上突破(放量)",IF($S18&gt;MAX($U18,$W18,$Y18,$AA18),"⚠疑似假突破(量縮)",IF(AND($S18&lt;MIN($T18,$V18,$X18,$Z18),$AB18="放量"),"🔻確認向下突破(放量)",IF($S18&lt;MIN($T18,$V18,$X18,$Z18),"⚠疑似假跌破(量縮)","區間整理")))))</f>
        <v/>
      </c>
    </row>
  </sheetData>
  <mergeCells count="7">
    <mergeCell ref="AB1:AC1"/>
    <mergeCell ref="I1:L1"/>
    <mergeCell ref="T1:Y1"/>
    <mergeCell ref="G1:H1"/>
    <mergeCell ref="A1:F1"/>
    <mergeCell ref="Z1:AA1"/>
    <mergeCell ref="M1:Q1"/>
  </mergeCell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R17"/>
  <sheetViews>
    <sheetView workbookViewId="0">
      <selection activeCell="A1" sqref="A1"/>
    </sheetView>
  </sheetViews>
  <sheetFormatPr baseColWidth="8" defaultRowHeight="15"/>
  <cols>
    <col width="11" customWidth="1" min="1" max="1"/>
    <col width="6.28515625" customWidth="1" min="2" max="2"/>
    <col width="23.42578125" customWidth="1" min="3" max="3"/>
    <col width="11" customWidth="1" min="4" max="4"/>
    <col width="11" customWidth="1" min="5" max="5"/>
    <col width="14.28515625" customWidth="1" min="6" max="6"/>
    <col width="13.5703125" customWidth="1" min="7" max="7"/>
    <col width="20.85546875" customWidth="1" min="8" max="8"/>
    <col width="14.42578125" customWidth="1" min="9" max="9"/>
    <col width="11.42578125" customWidth="1" min="10" max="10"/>
    <col width="15.140625" customWidth="1" min="11" max="11"/>
    <col width="15.85546875" customWidth="1" min="12" max="12"/>
    <col width="11.5703125" customWidth="1" min="13" max="13"/>
    <col width="15.7109375" customWidth="1" min="14" max="14"/>
    <col width="14.140625" customWidth="1" min="15" max="15"/>
    <col width="14.28515625" customWidth="1" min="16" max="16"/>
    <col width="31.5703125" customWidth="1" min="18" max="18"/>
  </cols>
  <sheetData>
    <row r="1">
      <c r="A1" s="19" t="inlineStr">
        <is>
          <t>主力商品</t>
        </is>
      </c>
      <c r="B1" s="19" t="inlineStr">
        <is>
          <t>週期</t>
        </is>
      </c>
      <c r="C1" s="19" t="inlineStr">
        <is>
          <t>策略類別</t>
        </is>
      </c>
      <c r="D1" s="19" t="inlineStr">
        <is>
          <t>對沖商品</t>
        </is>
      </c>
      <c r="E1" s="20" t="inlineStr">
        <is>
          <t>對沖手數</t>
        </is>
      </c>
      <c r="F1" s="19" t="inlineStr">
        <is>
          <t>對沖相關性</t>
        </is>
      </c>
      <c r="G1" s="19" t="inlineStr">
        <is>
          <t>1.EMA均線</t>
        </is>
      </c>
      <c r="H1" s="19" t="inlineStr">
        <is>
          <t>2.ATR SL/TP</t>
        </is>
      </c>
      <c r="I1" s="19" t="inlineStr">
        <is>
          <t>3.RSI門檻</t>
        </is>
      </c>
      <c r="J1" s="19" t="inlineStr">
        <is>
          <t>4.KD門檻</t>
        </is>
      </c>
      <c r="K1" s="19" t="inlineStr">
        <is>
          <t>5.PSY門檻</t>
        </is>
      </c>
      <c r="L1" s="19" t="inlineStr">
        <is>
          <t>6.MACD參數</t>
        </is>
      </c>
      <c r="M1" s="19" t="inlineStr">
        <is>
          <t>7.BB布林</t>
        </is>
      </c>
      <c r="N1" s="19" t="inlineStr">
        <is>
          <t>8.Keltner通道</t>
        </is>
      </c>
      <c r="O1" s="19" t="inlineStr">
        <is>
          <t>9.CCI參數</t>
        </is>
      </c>
      <c r="P1" s="19" t="inlineStr">
        <is>
          <t>10.優化勝率</t>
        </is>
      </c>
      <c r="Q1" s="19" t="inlineStr">
        <is>
          <t>11.夏普比率</t>
        </is>
      </c>
      <c r="R1" s="19" t="inlineStr">
        <is>
          <t>實戰訊號</t>
        </is>
      </c>
    </row>
    <row r="2">
      <c r="A2" s="11" t="inlineStr">
        <is>
          <t>EURUSD</t>
        </is>
      </c>
      <c r="B2" s="11" t="inlineStr">
        <is>
          <t>M5</t>
        </is>
      </c>
      <c r="C2" s="11" t="inlineStr">
        <is>
          <t>M5 策略 B (回檔承接)</t>
        </is>
      </c>
      <c r="D2" s="11" t="inlineStr">
        <is>
          <t>USDCHF</t>
        </is>
      </c>
      <c r="E2" s="21" t="inlineStr">
        <is>
          <t>1 : 1.00</t>
        </is>
      </c>
      <c r="F2" s="11" t="inlineStr">
        <is>
          <t>反向(負相關)</t>
        </is>
      </c>
      <c r="G2" t="inlineStr">
        <is>
          <t>8 / 34 EMA</t>
        </is>
      </c>
      <c r="H2" t="inlineStr">
        <is>
          <t>SL:75點 / TP:195點</t>
        </is>
      </c>
      <c r="I2" t="inlineStr">
        <is>
          <t>RSI(12, 35/65)</t>
        </is>
      </c>
      <c r="J2" t="inlineStr">
        <is>
          <t>KD(8,3,3)</t>
        </is>
      </c>
      <c r="K2" t="inlineStr">
        <is>
          <t>PSY(10, 25/75)</t>
        </is>
      </c>
      <c r="L2" t="inlineStr">
        <is>
          <t>MACD(10,22,8)</t>
        </is>
      </c>
      <c r="M2" t="inlineStr">
        <is>
          <t>BB(18, 1.8)</t>
        </is>
      </c>
      <c r="N2" t="inlineStr">
        <is>
          <t>Keltner(16, 1.5)</t>
        </is>
      </c>
      <c r="O2" t="inlineStr">
        <is>
          <t>CCI(12, ±100)</t>
        </is>
      </c>
      <c r="P2" s="22" t="n">
        <v>0.768</v>
      </c>
      <c r="Q2" s="23" t="n">
        <v>2.52</v>
      </c>
      <c r="R2" s="24" t="n"/>
    </row>
    <row r="3">
      <c r="A3" s="11" t="inlineStr">
        <is>
          <t>EURUSD</t>
        </is>
      </c>
      <c r="B3" s="11" t="inlineStr">
        <is>
          <t>M5</t>
        </is>
      </c>
      <c r="C3" s="11" t="inlineStr">
        <is>
          <t>M5 策略 A (動態突破)</t>
        </is>
      </c>
      <c r="D3" s="11" t="inlineStr">
        <is>
          <t>USDCHF</t>
        </is>
      </c>
      <c r="E3" s="21" t="inlineStr">
        <is>
          <t>1 : 1.00</t>
        </is>
      </c>
      <c r="F3" s="11" t="inlineStr">
        <is>
          <t>反向(負相關)</t>
        </is>
      </c>
      <c r="G3" t="inlineStr">
        <is>
          <t>5 / 20 EMA</t>
        </is>
      </c>
      <c r="H3" t="inlineStr">
        <is>
          <t>SL:80點 / TP:180點</t>
        </is>
      </c>
      <c r="I3" t="inlineStr">
        <is>
          <t>RSI(10, 30/70)</t>
        </is>
      </c>
      <c r="J3" t="inlineStr">
        <is>
          <t>KD(6,3,3)</t>
        </is>
      </c>
      <c r="K3" t="inlineStr">
        <is>
          <t>PSY(8, 20/80)</t>
        </is>
      </c>
      <c r="L3" t="inlineStr">
        <is>
          <t>MACD(8,18,6)</t>
        </is>
      </c>
      <c r="M3" t="inlineStr">
        <is>
          <t>BB(16, 1.8)</t>
        </is>
      </c>
      <c r="N3" t="inlineStr">
        <is>
          <t>Keltner(14, 1.2)</t>
        </is>
      </c>
      <c r="O3" t="inlineStr">
        <is>
          <t>CCI(10, ±120)</t>
        </is>
      </c>
      <c r="P3" s="22" t="n">
        <v>0.731</v>
      </c>
      <c r="Q3" s="23" t="n">
        <v>2.41</v>
      </c>
      <c r="R3" s="24" t="n"/>
    </row>
    <row r="4">
      <c r="A4" s="11" t="inlineStr">
        <is>
          <t>GBPUSD</t>
        </is>
      </c>
      <c r="B4" s="11" t="inlineStr">
        <is>
          <t>M5</t>
        </is>
      </c>
      <c r="C4" s="11" t="inlineStr">
        <is>
          <t>M5 策略 B (回檔承接)</t>
        </is>
      </c>
      <c r="D4" s="11" t="inlineStr">
        <is>
          <t>EURUSD</t>
        </is>
      </c>
      <c r="E4" s="21" t="inlineStr">
        <is>
          <t>1 : 0.85</t>
        </is>
      </c>
      <c r="F4" s="11" t="inlineStr">
        <is>
          <t>同向(正相關)</t>
        </is>
      </c>
      <c r="G4" t="inlineStr">
        <is>
          <t>10 / 48 EMA</t>
        </is>
      </c>
      <c r="H4" t="inlineStr">
        <is>
          <t>SL:95點 / TP:250點</t>
        </is>
      </c>
      <c r="I4" t="inlineStr">
        <is>
          <t>RSI(14, 32/68)</t>
        </is>
      </c>
      <c r="J4" t="inlineStr">
        <is>
          <t>KD(9,3,3)</t>
        </is>
      </c>
      <c r="K4" t="inlineStr">
        <is>
          <t>PSY(12, 20/80)</t>
        </is>
      </c>
      <c r="L4" t="inlineStr">
        <is>
          <t>MACD(12,26,9)</t>
        </is>
      </c>
      <c r="M4" t="inlineStr">
        <is>
          <t>BB(20, 2.0)</t>
        </is>
      </c>
      <c r="N4" t="inlineStr">
        <is>
          <t>Keltner(20, 1.8)</t>
        </is>
      </c>
      <c r="O4" t="inlineStr">
        <is>
          <t>CCI(14, ±110)</t>
        </is>
      </c>
      <c r="P4" s="22" t="n">
        <v>0.784</v>
      </c>
      <c r="Q4" s="23" t="n">
        <v>2.68</v>
      </c>
      <c r="R4" s="24" t="n"/>
    </row>
    <row r="5">
      <c r="A5" s="11" t="inlineStr">
        <is>
          <t>GBPUSD</t>
        </is>
      </c>
      <c r="B5" s="11" t="inlineStr">
        <is>
          <t>M5</t>
        </is>
      </c>
      <c r="C5" s="11" t="inlineStr">
        <is>
          <t>M5 策略 A (動態突破)</t>
        </is>
      </c>
      <c r="D5" s="11" t="inlineStr">
        <is>
          <t>EURUSD</t>
        </is>
      </c>
      <c r="E5" s="21" t="inlineStr">
        <is>
          <t>1 : 0.85</t>
        </is>
      </c>
      <c r="F5" s="11" t="inlineStr">
        <is>
          <t>同向(正相關)</t>
        </is>
      </c>
      <c r="G5" t="inlineStr">
        <is>
          <t>6 / 24 EMA</t>
        </is>
      </c>
      <c r="H5" t="inlineStr">
        <is>
          <t>SL:100點 / TP:230點</t>
        </is>
      </c>
      <c r="I5" t="inlineStr">
        <is>
          <t>RSI(12, 28/72)</t>
        </is>
      </c>
      <c r="J5" t="inlineStr">
        <is>
          <t>KD(7,3,3)</t>
        </is>
      </c>
      <c r="K5" t="inlineStr">
        <is>
          <t>PSY(10, 18/82)</t>
        </is>
      </c>
      <c r="L5" t="inlineStr">
        <is>
          <t>MACD(10,22,8)</t>
        </is>
      </c>
      <c r="M5" t="inlineStr">
        <is>
          <t>BB(18, 1.9)</t>
        </is>
      </c>
      <c r="N5" t="inlineStr">
        <is>
          <t>Keltner(16, 1.5)</t>
        </is>
      </c>
      <c r="O5" t="inlineStr">
        <is>
          <t>CCI(12, ±130)</t>
        </is>
      </c>
      <c r="P5" s="22" t="n">
        <v>0.742</v>
      </c>
      <c r="Q5" s="23" t="n">
        <v>2.48</v>
      </c>
      <c r="R5" s="24" t="n"/>
    </row>
    <row r="6">
      <c r="A6" s="11" t="inlineStr">
        <is>
          <t>AUDUSD</t>
        </is>
      </c>
      <c r="B6" s="11" t="inlineStr">
        <is>
          <t>M5</t>
        </is>
      </c>
      <c r="C6" s="11" t="inlineStr">
        <is>
          <t>M5 策略 B (回檔承接)</t>
        </is>
      </c>
      <c r="D6" s="11" t="inlineStr">
        <is>
          <t>NZDUSD</t>
        </is>
      </c>
      <c r="E6" s="21" t="inlineStr">
        <is>
          <t>1 : 0.90</t>
        </is>
      </c>
      <c r="F6" s="11" t="inlineStr">
        <is>
          <t>同向(正相關)</t>
        </is>
      </c>
      <c r="G6" t="inlineStr">
        <is>
          <t>6 / 30 EMA</t>
        </is>
      </c>
      <c r="H6" t="inlineStr">
        <is>
          <t>SL:65點 / TP:160點</t>
        </is>
      </c>
      <c r="I6" t="inlineStr">
        <is>
          <t>RSI(10, 30/70)</t>
        </is>
      </c>
      <c r="J6" t="inlineStr">
        <is>
          <t>KD(7,3,3)</t>
        </is>
      </c>
      <c r="K6" t="inlineStr">
        <is>
          <t>PSY(10, 22/78)</t>
        </is>
      </c>
      <c r="L6" t="inlineStr">
        <is>
          <t>MACD(8,18,6)</t>
        </is>
      </c>
      <c r="M6" t="inlineStr">
        <is>
          <t>BB(16, 1.6)</t>
        </is>
      </c>
      <c r="N6" t="inlineStr">
        <is>
          <t>Keltner(14, 1.2)</t>
        </is>
      </c>
      <c r="O6" t="inlineStr">
        <is>
          <t>CCI(10, ±90)</t>
        </is>
      </c>
      <c r="P6" s="22" t="n">
        <v>0.755</v>
      </c>
      <c r="Q6" s="23" t="n">
        <v>2.39</v>
      </c>
      <c r="R6" s="24" t="n"/>
    </row>
    <row r="7">
      <c r="A7" s="11" t="inlineStr">
        <is>
          <t>AUDUSD</t>
        </is>
      </c>
      <c r="B7" s="11" t="inlineStr">
        <is>
          <t>M5</t>
        </is>
      </c>
      <c r="C7" s="11" t="inlineStr">
        <is>
          <t>M5 策略 A (動態突破)</t>
        </is>
      </c>
      <c r="D7" s="11" t="inlineStr">
        <is>
          <t>NZDUSD</t>
        </is>
      </c>
      <c r="E7" s="21" t="inlineStr">
        <is>
          <t>1 : 0.90</t>
        </is>
      </c>
      <c r="F7" s="11" t="inlineStr">
        <is>
          <t>同向(正相關)</t>
        </is>
      </c>
      <c r="G7" t="inlineStr">
        <is>
          <t>4 / 16 EMA</t>
        </is>
      </c>
      <c r="H7" t="inlineStr">
        <is>
          <t>SL:70點 / TP:150點</t>
        </is>
      </c>
      <c r="I7" t="inlineStr">
        <is>
          <t>RSI(9, 32/68)</t>
        </is>
      </c>
      <c r="J7" t="inlineStr">
        <is>
          <t>KD(5,3,3)</t>
        </is>
      </c>
      <c r="K7" t="inlineStr">
        <is>
          <t>PSY(8, 20/80)</t>
        </is>
      </c>
      <c r="L7" t="inlineStr">
        <is>
          <t>MACD(6,14,5)</t>
        </is>
      </c>
      <c r="M7" t="inlineStr">
        <is>
          <t>BB(14, 1.5)</t>
        </is>
      </c>
      <c r="N7" t="inlineStr">
        <is>
          <t>Keltner(12, 1.0)</t>
        </is>
      </c>
      <c r="O7" t="inlineStr">
        <is>
          <t>CCI(8, ±100)</t>
        </is>
      </c>
      <c r="P7" s="22" t="n">
        <v>0.718</v>
      </c>
      <c r="Q7" s="23" t="n">
        <v>2.25</v>
      </c>
      <c r="R7" s="24" t="n"/>
    </row>
    <row r="8">
      <c r="A8" s="11" t="inlineStr">
        <is>
          <t>USDCAD</t>
        </is>
      </c>
      <c r="B8" s="11" t="inlineStr">
        <is>
          <t>M5</t>
        </is>
      </c>
      <c r="C8" s="11" t="inlineStr">
        <is>
          <t>M5 策略 B (回檔承接)</t>
        </is>
      </c>
      <c r="D8" s="11" t="inlineStr">
        <is>
          <t>USOIL</t>
        </is>
      </c>
      <c r="E8" s="21" t="inlineStr">
        <is>
          <t>1 : 0.50</t>
        </is>
      </c>
      <c r="F8" s="11" t="inlineStr">
        <is>
          <t>反向(負相關)</t>
        </is>
      </c>
      <c r="G8" t="inlineStr">
        <is>
          <t>7 / 35 EMA</t>
        </is>
      </c>
      <c r="H8" t="inlineStr">
        <is>
          <t>SL:70點 / TP:175點</t>
        </is>
      </c>
      <c r="I8" t="inlineStr">
        <is>
          <t>RSI(11, 32/68)</t>
        </is>
      </c>
      <c r="J8" t="inlineStr">
        <is>
          <t>KD(8,3,3)</t>
        </is>
      </c>
      <c r="K8" t="inlineStr">
        <is>
          <t>PSY(10, 20/80)</t>
        </is>
      </c>
      <c r="L8" t="inlineStr">
        <is>
          <t>MACD(9,20,7)</t>
        </is>
      </c>
      <c r="M8" t="inlineStr">
        <is>
          <t>BB(18, 1.8)</t>
        </is>
      </c>
      <c r="N8" t="inlineStr">
        <is>
          <t>Keltner(18, 1.5)</t>
        </is>
      </c>
      <c r="O8" t="inlineStr">
        <is>
          <t>CCI(12, ±100)</t>
        </is>
      </c>
      <c r="P8" s="22" t="n">
        <v>0.762</v>
      </c>
      <c r="Q8" s="23" t="n">
        <v>2.46</v>
      </c>
      <c r="R8" s="24" t="n"/>
    </row>
    <row r="9">
      <c r="A9" s="11" t="inlineStr">
        <is>
          <t>USDCAD</t>
        </is>
      </c>
      <c r="B9" s="11" t="inlineStr">
        <is>
          <t>M5</t>
        </is>
      </c>
      <c r="C9" s="11" t="inlineStr">
        <is>
          <t>M5 策略 A (動態突破)</t>
        </is>
      </c>
      <c r="D9" s="11" t="inlineStr">
        <is>
          <t>USOIL</t>
        </is>
      </c>
      <c r="E9" s="21" t="inlineStr">
        <is>
          <t>1 : 0.50</t>
        </is>
      </c>
      <c r="F9" s="11" t="inlineStr">
        <is>
          <t>反向(負相關)</t>
        </is>
      </c>
      <c r="G9" t="inlineStr">
        <is>
          <t>4 / 18 EMA</t>
        </is>
      </c>
      <c r="H9" t="inlineStr">
        <is>
          <t>SL:75點 / TP:165點</t>
        </is>
      </c>
      <c r="I9" t="inlineStr">
        <is>
          <t>RSI(10, 30/70)</t>
        </is>
      </c>
      <c r="J9" t="inlineStr">
        <is>
          <t>KD(6,3,3)</t>
        </is>
      </c>
      <c r="K9" t="inlineStr">
        <is>
          <t>PSY(8, 22/78)</t>
        </is>
      </c>
      <c r="L9" t="inlineStr">
        <is>
          <t>MACD(8,16,6)</t>
        </is>
      </c>
      <c r="M9" t="inlineStr">
        <is>
          <t>BB(16, 1.7)</t>
        </is>
      </c>
      <c r="N9" t="inlineStr">
        <is>
          <t>Keltner(14, 1.3)</t>
        </is>
      </c>
      <c r="O9" t="inlineStr">
        <is>
          <t>CCI(10, ±110)</t>
        </is>
      </c>
      <c r="P9" s="22" t="n">
        <v>0.725</v>
      </c>
      <c r="Q9" s="23" t="n">
        <v>2.32</v>
      </c>
      <c r="R9" s="24" t="n"/>
    </row>
    <row r="10">
      <c r="A10" s="11" t="inlineStr">
        <is>
          <t>USDJPY</t>
        </is>
      </c>
      <c r="B10" s="11" t="inlineStr">
        <is>
          <t>M5</t>
        </is>
      </c>
      <c r="C10" s="11" t="inlineStr">
        <is>
          <t>M5 策略 B (回檔承接)</t>
        </is>
      </c>
      <c r="D10" s="11" t="inlineStr">
        <is>
          <t>XAUUSD</t>
        </is>
      </c>
      <c r="E10" s="21" t="inlineStr">
        <is>
          <t>1 : 0.30</t>
        </is>
      </c>
      <c r="F10" s="11" t="inlineStr">
        <is>
          <t>反向(負相關)</t>
        </is>
      </c>
      <c r="G10" t="inlineStr">
        <is>
          <t>9 / 42 EMA</t>
        </is>
      </c>
      <c r="H10" t="inlineStr">
        <is>
          <t>SL:110點 / TP:290點</t>
        </is>
      </c>
      <c r="I10" t="inlineStr">
        <is>
          <t>RSI(12, 28/72)</t>
        </is>
      </c>
      <c r="J10" t="inlineStr">
        <is>
          <t>KD(10,3,3)</t>
        </is>
      </c>
      <c r="K10" t="inlineStr">
        <is>
          <t>PSY(12, 18/82)</t>
        </is>
      </c>
      <c r="L10" t="inlineStr">
        <is>
          <t>MACD(10,24,8)</t>
        </is>
      </c>
      <c r="M10" t="inlineStr">
        <is>
          <t>BB(20, 2.0)</t>
        </is>
      </c>
      <c r="N10" t="inlineStr">
        <is>
          <t>Keltner(22, 1.8)</t>
        </is>
      </c>
      <c r="O10" t="inlineStr">
        <is>
          <t>CCI(15, ±120)</t>
        </is>
      </c>
      <c r="P10" s="22" t="n">
        <v>0.791</v>
      </c>
      <c r="Q10" s="23" t="n">
        <v>2.75</v>
      </c>
      <c r="R10" s="24" t="n"/>
    </row>
    <row r="11">
      <c r="A11" s="11" t="inlineStr">
        <is>
          <t>USDJPY</t>
        </is>
      </c>
      <c r="B11" s="11" t="inlineStr">
        <is>
          <t>M5</t>
        </is>
      </c>
      <c r="C11" s="11" t="inlineStr">
        <is>
          <t>M5 策略 A (動態突破)</t>
        </is>
      </c>
      <c r="D11" s="11" t="inlineStr">
        <is>
          <t>XAUUSD</t>
        </is>
      </c>
      <c r="E11" s="21" t="inlineStr">
        <is>
          <t>1 : 0.30</t>
        </is>
      </c>
      <c r="F11" s="11" t="inlineStr">
        <is>
          <t>反向(負相關)</t>
        </is>
      </c>
      <c r="G11" t="inlineStr">
        <is>
          <t>5 / 22 EMA</t>
        </is>
      </c>
      <c r="H11" t="inlineStr">
        <is>
          <t>SL:115點 / TP:270點</t>
        </is>
      </c>
      <c r="I11" t="inlineStr">
        <is>
          <t>RSI(14, 25/75)</t>
        </is>
      </c>
      <c r="J11" t="inlineStr">
        <is>
          <t>KD(8,3,3)</t>
        </is>
      </c>
      <c r="K11" t="inlineStr">
        <is>
          <t>PSY(10, 20/80)</t>
        </is>
      </c>
      <c r="L11" t="inlineStr">
        <is>
          <t>MACD(12,26,9)</t>
        </is>
      </c>
      <c r="M11" t="inlineStr">
        <is>
          <t>BB(20, 2.1)</t>
        </is>
      </c>
      <c r="N11" t="inlineStr">
        <is>
          <t>Keltner(18, 1.6)</t>
        </is>
      </c>
      <c r="O11" t="inlineStr">
        <is>
          <t>CCI(12, ±140)</t>
        </is>
      </c>
      <c r="P11" s="22" t="n">
        <v>0.751</v>
      </c>
      <c r="Q11" s="23" t="n">
        <v>2.53</v>
      </c>
      <c r="R11" s="24" t="n"/>
    </row>
    <row r="12">
      <c r="A12" s="11" t="inlineStr">
        <is>
          <t>USDCHF</t>
        </is>
      </c>
      <c r="B12" s="11" t="inlineStr">
        <is>
          <t>M5</t>
        </is>
      </c>
      <c r="C12" s="11" t="inlineStr">
        <is>
          <t>M5 策略 B (回檔承接)</t>
        </is>
      </c>
      <c r="D12" s="11" t="inlineStr">
        <is>
          <t>EURUSD</t>
        </is>
      </c>
      <c r="E12" s="21" t="inlineStr">
        <is>
          <t>1 : 1.00</t>
        </is>
      </c>
      <c r="F12" s="11" t="inlineStr">
        <is>
          <t>反向(負相關)</t>
        </is>
      </c>
      <c r="G12" t="inlineStr">
        <is>
          <t>8 / 36 EMA</t>
        </is>
      </c>
      <c r="H12" t="inlineStr">
        <is>
          <t>SL:75點 / TP:185點</t>
        </is>
      </c>
      <c r="I12" t="inlineStr">
        <is>
          <t>RSI(12, 30/70)</t>
        </is>
      </c>
      <c r="J12" t="inlineStr">
        <is>
          <t>KD(8,3,3)</t>
        </is>
      </c>
      <c r="K12" t="inlineStr">
        <is>
          <t>PSY(10, 25/75)</t>
        </is>
      </c>
      <c r="L12" t="inlineStr">
        <is>
          <t>MACD(10,22,8)</t>
        </is>
      </c>
      <c r="M12" t="inlineStr">
        <is>
          <t>BB(18, 1.8)</t>
        </is>
      </c>
      <c r="N12" t="inlineStr">
        <is>
          <t>Keltner(16, 1.5)</t>
        </is>
      </c>
      <c r="O12" t="inlineStr">
        <is>
          <t>CCI(12, ±100)</t>
        </is>
      </c>
      <c r="P12" s="22" t="n">
        <v>0.759</v>
      </c>
      <c r="Q12" s="23" t="n">
        <v>2.44</v>
      </c>
      <c r="R12" s="24" t="n"/>
    </row>
    <row r="13">
      <c r="A13" s="11" t="inlineStr">
        <is>
          <t>USDCHF</t>
        </is>
      </c>
      <c r="B13" s="11" t="inlineStr">
        <is>
          <t>M5</t>
        </is>
      </c>
      <c r="C13" s="11" t="inlineStr">
        <is>
          <t>M5 策略 A (動態突破)</t>
        </is>
      </c>
      <c r="D13" s="11" t="inlineStr">
        <is>
          <t>EURUSD</t>
        </is>
      </c>
      <c r="E13" s="21" t="inlineStr">
        <is>
          <t>1 : 1.00</t>
        </is>
      </c>
      <c r="F13" s="11" t="inlineStr">
        <is>
          <t>反向(負相關)</t>
        </is>
      </c>
      <c r="G13" t="inlineStr">
        <is>
          <t>4 / 18 EMA</t>
        </is>
      </c>
      <c r="H13" t="inlineStr">
        <is>
          <t>SL:80點 / TP:170點</t>
        </is>
      </c>
      <c r="I13" t="inlineStr">
        <is>
          <t>RSI(10, 32/68)</t>
        </is>
      </c>
      <c r="J13" t="inlineStr">
        <is>
          <t>KD(6,3,3)</t>
        </is>
      </c>
      <c r="K13" t="inlineStr">
        <is>
          <t>PSY(8, 20/80)</t>
        </is>
      </c>
      <c r="L13" t="inlineStr">
        <is>
          <t>MACD(8,18,6)</t>
        </is>
      </c>
      <c r="M13" t="inlineStr">
        <is>
          <t>BB(16, 1.7)</t>
        </is>
      </c>
      <c r="N13" t="inlineStr">
        <is>
          <t>Keltner(14, 1.3)</t>
        </is>
      </c>
      <c r="O13" t="inlineStr">
        <is>
          <t>CCI(10, ±110)</t>
        </is>
      </c>
      <c r="P13" s="22" t="n">
        <v>0.721</v>
      </c>
      <c r="Q13" s="23" t="n">
        <v>2.29</v>
      </c>
      <c r="R13" s="24" t="n"/>
    </row>
    <row r="14">
      <c r="A14" s="11" t="inlineStr">
        <is>
          <t>XAUUSD</t>
        </is>
      </c>
      <c r="B14" s="11" t="inlineStr">
        <is>
          <t>M5</t>
        </is>
      </c>
      <c r="C14" s="11" t="inlineStr">
        <is>
          <t>M5 策略 B (回檔承接)</t>
        </is>
      </c>
      <c r="D14" s="11" t="inlineStr">
        <is>
          <t>XAGUSD</t>
        </is>
      </c>
      <c r="E14" s="21" t="inlineStr">
        <is>
          <t>1 : 0.65</t>
        </is>
      </c>
      <c r="F14" s="11" t="inlineStr">
        <is>
          <t>同向(正相關)</t>
        </is>
      </c>
      <c r="G14" t="inlineStr">
        <is>
          <t>12 / 55 EMA</t>
        </is>
      </c>
      <c r="H14" t="inlineStr">
        <is>
          <t>SL:180點 / TP:480點</t>
        </is>
      </c>
      <c r="I14" t="inlineStr">
        <is>
          <t>RSI(14, 20/80)</t>
        </is>
      </c>
      <c r="J14" t="inlineStr">
        <is>
          <t>KD(12,3,3)</t>
        </is>
      </c>
      <c r="K14" t="inlineStr">
        <is>
          <t>PSY(14, 15/85)</t>
        </is>
      </c>
      <c r="L14" t="inlineStr">
        <is>
          <t>MACD(12,28,9)</t>
        </is>
      </c>
      <c r="M14" t="inlineStr">
        <is>
          <t>BB(22, 2.2)</t>
        </is>
      </c>
      <c r="N14" t="inlineStr">
        <is>
          <t>Keltner(25, 2.0)</t>
        </is>
      </c>
      <c r="O14" t="inlineStr">
        <is>
          <t>CCI(18, ±150)</t>
        </is>
      </c>
      <c r="P14" s="22" t="n">
        <v>0.8120000000000001</v>
      </c>
      <c r="Q14" s="23" t="n">
        <v>2.88</v>
      </c>
      <c r="R14" s="24" t="n"/>
    </row>
    <row r="15">
      <c r="A15" s="11" t="inlineStr">
        <is>
          <t>XAUUSD</t>
        </is>
      </c>
      <c r="B15" s="11" t="inlineStr">
        <is>
          <t>M5</t>
        </is>
      </c>
      <c r="C15" s="11" t="inlineStr">
        <is>
          <t>M5 策略 A (動態突破)</t>
        </is>
      </c>
      <c r="D15" s="11" t="inlineStr">
        <is>
          <t>XAGUSD</t>
        </is>
      </c>
      <c r="E15" s="21" t="inlineStr">
        <is>
          <t>1 : 0.65</t>
        </is>
      </c>
      <c r="F15" s="11" t="inlineStr">
        <is>
          <t>同向(正相關)</t>
        </is>
      </c>
      <c r="G15" t="inlineStr">
        <is>
          <t>6 / 28 EMA</t>
        </is>
      </c>
      <c r="H15" t="inlineStr">
        <is>
          <t>SL:190點 / TP:450點</t>
        </is>
      </c>
      <c r="I15" t="inlineStr">
        <is>
          <t>RSI(14, 22/78)</t>
        </is>
      </c>
      <c r="J15" t="inlineStr">
        <is>
          <t>KD(10,3,3)</t>
        </is>
      </c>
      <c r="K15" t="inlineStr">
        <is>
          <t>PSY(12, 18/82)</t>
        </is>
      </c>
      <c r="L15" t="inlineStr">
        <is>
          <t>MACD(12,26,9)</t>
        </is>
      </c>
      <c r="M15" t="inlineStr">
        <is>
          <t>BB(22, 2.2)</t>
        </is>
      </c>
      <c r="N15" t="inlineStr">
        <is>
          <t>Keltner(20, 1.8)</t>
        </is>
      </c>
      <c r="O15" t="inlineStr">
        <is>
          <t>CCI(15, ±160)</t>
        </is>
      </c>
      <c r="P15" s="22" t="n">
        <v>0.769</v>
      </c>
      <c r="Q15" s="23" t="n">
        <v>2.61</v>
      </c>
      <c r="R15" s="24" t="n"/>
    </row>
    <row r="16">
      <c r="A16" s="11" t="inlineStr">
        <is>
          <t>XAGUSD</t>
        </is>
      </c>
      <c r="B16" s="11" t="inlineStr">
        <is>
          <t>M5</t>
        </is>
      </c>
      <c r="C16" s="11" t="inlineStr">
        <is>
          <t>M5 策略 B (回檔承接)</t>
        </is>
      </c>
      <c r="D16" s="11" t="inlineStr">
        <is>
          <t>XAUUSD</t>
        </is>
      </c>
      <c r="E16" s="21" t="inlineStr">
        <is>
          <t>1 : 1.50</t>
        </is>
      </c>
      <c r="F16" s="11" t="inlineStr">
        <is>
          <t>同向(正相關)</t>
        </is>
      </c>
      <c r="G16" t="inlineStr">
        <is>
          <t>10 / 45 EMA</t>
        </is>
      </c>
      <c r="H16" t="inlineStr">
        <is>
          <t>SL:120點 / TP:310點</t>
        </is>
      </c>
      <c r="I16" t="inlineStr">
        <is>
          <t>RSI(12, 25/75)</t>
        </is>
      </c>
      <c r="J16" t="inlineStr">
        <is>
          <t>KD(10,3,3)</t>
        </is>
      </c>
      <c r="K16" t="inlineStr">
        <is>
          <t>PSY(12, 20/80)</t>
        </is>
      </c>
      <c r="L16" t="inlineStr">
        <is>
          <t>MACD(10,24,8)</t>
        </is>
      </c>
      <c r="M16" t="inlineStr">
        <is>
          <t>BB(20, 2.0)</t>
        </is>
      </c>
      <c r="N16" t="inlineStr">
        <is>
          <t>Keltner(20, 1.8)</t>
        </is>
      </c>
      <c r="O16" t="inlineStr">
        <is>
          <t>CCI(15, ±130)</t>
        </is>
      </c>
      <c r="P16" s="22" t="n">
        <v>0.785</v>
      </c>
      <c r="Q16" s="23" t="n">
        <v>2.71</v>
      </c>
      <c r="R16" s="24" t="n"/>
    </row>
    <row r="17">
      <c r="A17" s="11" t="inlineStr">
        <is>
          <t>XAGUSD</t>
        </is>
      </c>
      <c r="B17" s="11" t="inlineStr">
        <is>
          <t>M5</t>
        </is>
      </c>
      <c r="C17" s="11" t="inlineStr">
        <is>
          <t>M5 策略 A (動態突破)</t>
        </is>
      </c>
      <c r="D17" s="11" t="inlineStr">
        <is>
          <t>XAUUSD</t>
        </is>
      </c>
      <c r="E17" s="21" t="inlineStr">
        <is>
          <t>1 : 1.50</t>
        </is>
      </c>
      <c r="F17" s="11" t="inlineStr">
        <is>
          <t>同向(正相關)</t>
        </is>
      </c>
      <c r="G17" t="inlineStr">
        <is>
          <t>5 / 22 EMA</t>
        </is>
      </c>
      <c r="H17" t="inlineStr">
        <is>
          <t>SL:125點 / TP:290點</t>
        </is>
      </c>
      <c r="I17" t="inlineStr">
        <is>
          <t>RSI(12, 25/75)</t>
        </is>
      </c>
      <c r="J17" t="inlineStr">
        <is>
          <t>KD(8,3,3)</t>
        </is>
      </c>
      <c r="K17" t="inlineStr">
        <is>
          <t>PSY(10, 22/78)</t>
        </is>
      </c>
      <c r="L17" t="inlineStr">
        <is>
          <t>MACD(10,22,8)</t>
        </is>
      </c>
      <c r="M17" t="inlineStr">
        <is>
          <t>BB(18, 1.9)</t>
        </is>
      </c>
      <c r="N17" t="inlineStr">
        <is>
          <t>Keltner(18, 1.6)</t>
        </is>
      </c>
      <c r="O17" t="inlineStr">
        <is>
          <t>CCI(12, ±140)</t>
        </is>
      </c>
      <c r="P17" s="22" t="n">
        <v>0.738</v>
      </c>
      <c r="Q17" s="23" t="n">
        <v>2.45</v>
      </c>
      <c r="R17" s="24" t="n"/>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S7"/>
  <sheetViews>
    <sheetView workbookViewId="0">
      <selection activeCell="A1" sqref="A1"/>
    </sheetView>
  </sheetViews>
  <sheetFormatPr baseColWidth="8" defaultRowHeight="15"/>
  <cols>
    <col width="35" customWidth="1" min="1" max="1"/>
    <col width="15" customWidth="1" min="2" max="2"/>
  </cols>
  <sheetData>
    <row r="1">
      <c r="A1" s="26" t="inlineStr">
        <is>
          <t>【M5 雙策略與多週期 11大指標及 110點SL 規則設定】</t>
        </is>
      </c>
    </row>
    <row r="2">
      <c r="A2" s="27" t="inlineStr">
        <is>
          <t>商品 (Symbol)</t>
        </is>
      </c>
      <c r="B2" s="27" t="inlineStr">
        <is>
          <t>週期/策略</t>
        </is>
      </c>
      <c r="C2" s="27" t="inlineStr">
        <is>
          <t>最佳 SL</t>
        </is>
      </c>
      <c r="D2" s="27" t="inlineStr">
        <is>
          <t>最佳 TP</t>
        </is>
      </c>
      <c r="E2" s="27" t="inlineStr">
        <is>
          <t>短均線</t>
        </is>
      </c>
      <c r="F2" s="27" t="inlineStr">
        <is>
          <t>長均線</t>
        </is>
      </c>
      <c r="G2" s="27" t="inlineStr">
        <is>
          <t>RSI K數</t>
        </is>
      </c>
      <c r="H2" s="27" t="inlineStr">
        <is>
          <t>RSI下限</t>
        </is>
      </c>
      <c r="I2" s="27" t="inlineStr">
        <is>
          <t>RSI上限</t>
        </is>
      </c>
      <c r="J2" s="27" t="inlineStr">
        <is>
          <t>KD(K/D/平滑)</t>
        </is>
      </c>
      <c r="K2" s="27" t="inlineStr">
        <is>
          <t>PSY K數</t>
        </is>
      </c>
      <c r="L2" s="27" t="inlineStr">
        <is>
          <t>PSY上下限</t>
        </is>
      </c>
      <c r="M2" s="27" t="inlineStr">
        <is>
          <t>威廉 %R</t>
        </is>
      </c>
      <c r="N2" s="27" t="inlineStr">
        <is>
          <t>MTM K數</t>
        </is>
      </c>
      <c r="O2" s="27" t="inlineStr">
        <is>
          <t>MACD(快/慢/訊)</t>
        </is>
      </c>
      <c r="P2" s="27" t="inlineStr">
        <is>
          <t>布林(天/倍)</t>
        </is>
      </c>
      <c r="Q2" s="27" t="inlineStr">
        <is>
          <t>CCI K數</t>
        </is>
      </c>
      <c r="R2" s="27" t="inlineStr">
        <is>
          <t>Abbreation</t>
        </is>
      </c>
      <c r="S2" s="27" t="inlineStr">
        <is>
          <t>Keltner</t>
        </is>
      </c>
    </row>
    <row r="3">
      <c r="A3" s="28" t="inlineStr">
        <is>
          <t>USDJPY</t>
        </is>
      </c>
      <c r="B3" s="28" t="inlineStr">
        <is>
          <t>M5 (策略A-趨勢)</t>
        </is>
      </c>
      <c r="C3" s="28" t="n">
        <v>110</v>
      </c>
      <c r="D3" s="28" t="n">
        <v>220</v>
      </c>
      <c r="E3" s="28" t="n">
        <v>5</v>
      </c>
      <c r="F3" s="28" t="n">
        <v>20</v>
      </c>
      <c r="G3" s="28" t="n">
        <v>14</v>
      </c>
      <c r="H3" s="28" t="n">
        <v>30</v>
      </c>
      <c r="I3" s="28" t="n">
        <v>70</v>
      </c>
      <c r="J3" s="28" t="inlineStr">
        <is>
          <t>9,3,3</t>
        </is>
      </c>
      <c r="K3" s="28" t="n">
        <v>12</v>
      </c>
      <c r="L3" s="28" t="inlineStr">
        <is>
          <t>25,75</t>
        </is>
      </c>
      <c r="M3" s="28" t="n">
        <v>14</v>
      </c>
      <c r="N3" s="28" t="n">
        <v>10</v>
      </c>
      <c r="O3" s="28" t="inlineStr">
        <is>
          <t>12,26,9</t>
        </is>
      </c>
      <c r="P3" s="28" t="inlineStr">
        <is>
          <t>20,2.0</t>
        </is>
      </c>
      <c r="Q3" s="28" t="n">
        <v>14</v>
      </c>
      <c r="R3" s="28" t="n">
        <v>0</v>
      </c>
      <c r="S3" s="28" t="n">
        <v>20</v>
      </c>
    </row>
    <row r="4">
      <c r="A4" s="29" t="inlineStr">
        <is>
          <t>USDJPY</t>
        </is>
      </c>
      <c r="B4" s="29" t="inlineStr">
        <is>
          <t>M5 (策略B-回歸)</t>
        </is>
      </c>
      <c r="C4" s="29" t="n">
        <v>110</v>
      </c>
      <c r="D4" s="29" t="n">
        <v>250</v>
      </c>
      <c r="E4" s="29" t="n">
        <v>10</v>
      </c>
      <c r="F4" s="29" t="n">
        <v>50</v>
      </c>
      <c r="G4" s="29" t="n">
        <v>14</v>
      </c>
      <c r="H4" s="29" t="n">
        <v>30</v>
      </c>
      <c r="I4" s="29" t="n">
        <v>70</v>
      </c>
      <c r="J4" s="29" t="inlineStr">
        <is>
          <t>9,3,3</t>
        </is>
      </c>
      <c r="K4" s="29" t="n">
        <v>12</v>
      </c>
      <c r="L4" s="29" t="inlineStr">
        <is>
          <t>25,75</t>
        </is>
      </c>
      <c r="M4" s="29" t="n">
        <v>14</v>
      </c>
      <c r="N4" s="29" t="n">
        <v>10</v>
      </c>
      <c r="O4" s="29" t="inlineStr">
        <is>
          <t>12,26,9</t>
        </is>
      </c>
      <c r="P4" s="29" t="inlineStr">
        <is>
          <t>20,2.0</t>
        </is>
      </c>
      <c r="Q4" s="29" t="n">
        <v>14</v>
      </c>
      <c r="R4" s="29" t="n">
        <v>0</v>
      </c>
      <c r="S4" s="29" t="n">
        <v>20</v>
      </c>
    </row>
    <row r="5">
      <c r="A5" s="28" t="inlineStr">
        <is>
          <t>USDJPY</t>
        </is>
      </c>
      <c r="B5" s="28" t="inlineStr">
        <is>
          <t>H1</t>
        </is>
      </c>
      <c r="C5" s="28" t="n">
        <v>110</v>
      </c>
      <c r="D5" s="28" t="n">
        <v>280</v>
      </c>
      <c r="E5" s="28" t="n">
        <v>10</v>
      </c>
      <c r="F5" s="28" t="n">
        <v>50</v>
      </c>
      <c r="G5" s="28" t="n">
        <v>14</v>
      </c>
      <c r="H5" s="28" t="n">
        <v>30</v>
      </c>
      <c r="I5" s="28" t="n">
        <v>70</v>
      </c>
      <c r="J5" s="28" t="inlineStr">
        <is>
          <t>9,3,3</t>
        </is>
      </c>
      <c r="K5" s="28" t="n">
        <v>12</v>
      </c>
      <c r="L5" s="28" t="inlineStr">
        <is>
          <t>25,75</t>
        </is>
      </c>
      <c r="M5" s="28" t="n">
        <v>14</v>
      </c>
      <c r="N5" s="28" t="n">
        <v>10</v>
      </c>
      <c r="O5" s="28" t="inlineStr">
        <is>
          <t>12,26,9</t>
        </is>
      </c>
      <c r="P5" s="28" t="inlineStr">
        <is>
          <t>20,2.0</t>
        </is>
      </c>
      <c r="Q5" s="28" t="n">
        <v>14</v>
      </c>
      <c r="R5" s="28" t="n">
        <v>0</v>
      </c>
      <c r="S5" s="28" t="n">
        <v>20</v>
      </c>
    </row>
    <row r="6">
      <c r="A6" s="29" t="inlineStr">
        <is>
          <t>USDJPY</t>
        </is>
      </c>
      <c r="B6" s="29" t="inlineStr">
        <is>
          <t>H4</t>
        </is>
      </c>
      <c r="C6" s="29" t="n">
        <v>150</v>
      </c>
      <c r="D6" s="29" t="n">
        <v>350</v>
      </c>
      <c r="E6" s="29" t="n">
        <v>10</v>
      </c>
      <c r="F6" s="29" t="n">
        <v>50</v>
      </c>
      <c r="G6" s="29" t="n">
        <v>14</v>
      </c>
      <c r="H6" s="29" t="n">
        <v>30</v>
      </c>
      <c r="I6" s="29" t="n">
        <v>70</v>
      </c>
      <c r="J6" s="29" t="inlineStr">
        <is>
          <t>9,3,3</t>
        </is>
      </c>
      <c r="K6" s="29" t="n">
        <v>12</v>
      </c>
      <c r="L6" s="29" t="inlineStr">
        <is>
          <t>25,75</t>
        </is>
      </c>
      <c r="M6" s="29" t="n">
        <v>14</v>
      </c>
      <c r="N6" s="29" t="n">
        <v>10</v>
      </c>
      <c r="O6" s="29" t="inlineStr">
        <is>
          <t>12,26,9</t>
        </is>
      </c>
      <c r="P6" s="29" t="inlineStr">
        <is>
          <t>20,2.0</t>
        </is>
      </c>
      <c r="Q6" s="29" t="n">
        <v>14</v>
      </c>
      <c r="R6" s="29" t="n">
        <v>0</v>
      </c>
      <c r="S6" s="29" t="n">
        <v>20</v>
      </c>
    </row>
    <row r="7">
      <c r="A7" s="28" t="inlineStr">
        <is>
          <t>USDJPY</t>
        </is>
      </c>
      <c r="B7" s="28" t="inlineStr">
        <is>
          <t>D1</t>
        </is>
      </c>
      <c r="C7" s="28" t="n">
        <v>200</v>
      </c>
      <c r="D7" s="28" t="n">
        <v>500</v>
      </c>
      <c r="E7" s="28" t="n">
        <v>20</v>
      </c>
      <c r="F7" s="28" t="n">
        <v>100</v>
      </c>
      <c r="G7" s="28" t="n">
        <v>14</v>
      </c>
      <c r="H7" s="28" t="n">
        <v>30</v>
      </c>
      <c r="I7" s="28" t="n">
        <v>70</v>
      </c>
      <c r="J7" s="28" t="inlineStr">
        <is>
          <t>9,3,3</t>
        </is>
      </c>
      <c r="K7" s="28" t="n">
        <v>12</v>
      </c>
      <c r="L7" s="28" t="inlineStr">
        <is>
          <t>25,75</t>
        </is>
      </c>
      <c r="M7" s="28" t="n">
        <v>14</v>
      </c>
      <c r="N7" s="28" t="n">
        <v>10</v>
      </c>
      <c r="O7" s="28" t="inlineStr">
        <is>
          <t>12,26,9</t>
        </is>
      </c>
      <c r="P7" s="28" t="inlineStr">
        <is>
          <t>20,2.0</t>
        </is>
      </c>
      <c r="Q7" s="28" t="n">
        <v>14</v>
      </c>
      <c r="R7" s="28" t="n">
        <v>0</v>
      </c>
      <c r="S7" s="28" t="n">
        <v>20</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O4"/>
  <sheetViews>
    <sheetView workbookViewId="0">
      <selection activeCell="A1" sqref="A1"/>
    </sheetView>
  </sheetViews>
  <sheetFormatPr baseColWidth="8" defaultRowHeight="15"/>
  <cols>
    <col width="32" customWidth="1" min="1" max="1"/>
    <col width="15" customWidth="1" min="2" max="2"/>
    <col width="29" customWidth="1" min="15" max="15"/>
  </cols>
  <sheetData>
    <row r="1">
      <c r="A1" s="26" t="inlineStr">
        <is>
          <t>【USDJPY M5 雙策略與多週期歷史回測效能紀錄表】</t>
        </is>
      </c>
    </row>
    <row r="2">
      <c r="A2" s="27" t="inlineStr">
        <is>
          <t>回測批次 ID</t>
        </is>
      </c>
      <c r="B2" s="27" t="inlineStr">
        <is>
          <t>商品 (Symbol)</t>
        </is>
      </c>
      <c r="C2" s="27" t="inlineStr">
        <is>
          <t>測試週期/策略</t>
        </is>
      </c>
      <c r="D2" s="27" t="inlineStr">
        <is>
          <t>起始日期</t>
        </is>
      </c>
      <c r="E2" s="27" t="inlineStr">
        <is>
          <t>結束日期</t>
        </is>
      </c>
      <c r="F2" s="27" t="inlineStr">
        <is>
          <t>初始資金</t>
        </is>
      </c>
      <c r="G2" s="27" t="inlineStr">
        <is>
          <t>最終淨值</t>
        </is>
      </c>
      <c r="H2" s="27" t="inlineStr">
        <is>
          <t>總盈虧 ($)</t>
        </is>
      </c>
      <c r="I2" s="27" t="inlineStr">
        <is>
          <t>勝率 (%)</t>
        </is>
      </c>
      <c r="J2" s="27" t="inlineStr">
        <is>
          <t>總交易次數</t>
        </is>
      </c>
      <c r="K2" s="27" t="inlineStr">
        <is>
          <t>最大回撤 (MDD)</t>
        </is>
      </c>
      <c r="L2" s="30" t="inlineStr">
        <is>
          <t>夏普比率</t>
        </is>
      </c>
      <c r="M2" s="27" t="inlineStr">
        <is>
          <t>採用停損 (SL)</t>
        </is>
      </c>
      <c r="N2" s="27" t="inlineStr">
        <is>
          <t>採用停點 (TP)</t>
        </is>
      </c>
      <c r="O2" s="27" t="inlineStr">
        <is>
          <t>備註與參數調整重點</t>
        </is>
      </c>
    </row>
    <row r="3">
      <c r="A3" s="28" t="inlineStr">
        <is>
          <t>BT-USDJPY-M5-A</t>
        </is>
      </c>
      <c r="B3" s="28" t="inlineStr">
        <is>
          <t>USDJPY</t>
        </is>
      </c>
      <c r="C3" s="28" t="inlineStr">
        <is>
          <t>M5 (策略A-趨勢)</t>
        </is>
      </c>
      <c r="D3" s="28" t="inlineStr">
        <is>
          <t>2023-08-28</t>
        </is>
      </c>
      <c r="E3" s="28" t="inlineStr">
        <is>
          <t>2026-08-27</t>
        </is>
      </c>
      <c r="F3" s="28" t="n">
        <v>10000</v>
      </c>
      <c r="G3" s="28" t="n">
        <v>14800</v>
      </c>
      <c r="H3" s="28" t="n">
        <v>4800</v>
      </c>
      <c r="I3" s="28" t="inlineStr">
        <is>
          <t>68.5%</t>
        </is>
      </c>
      <c r="J3" s="28" t="n">
        <v>420</v>
      </c>
      <c r="K3" s="28" t="inlineStr">
        <is>
          <t>4.8%</t>
        </is>
      </c>
      <c r="L3" s="28" t="n">
        <v>1.95</v>
      </c>
      <c r="M3" s="28" t="n">
        <v>110</v>
      </c>
      <c r="N3" s="28" t="n">
        <v>220</v>
      </c>
      <c r="O3" s="28" t="inlineStr">
        <is>
          <t>M5 雙策略 A：動能突破型，套用 110點 SL</t>
        </is>
      </c>
    </row>
    <row r="4">
      <c r="A4" s="29" t="inlineStr">
        <is>
          <t>BT-USDJPY-M5-B</t>
        </is>
      </c>
      <c r="B4" s="29" t="inlineStr">
        <is>
          <t>USDJPY</t>
        </is>
      </c>
      <c r="C4" s="29" t="inlineStr">
        <is>
          <t>M5 (策略B-回歸)</t>
        </is>
      </c>
      <c r="D4" s="29" t="inlineStr">
        <is>
          <t>2023-08-28</t>
        </is>
      </c>
      <c r="E4" s="29" t="inlineStr">
        <is>
          <t>2026-08-27</t>
        </is>
      </c>
      <c r="F4" s="29" t="n">
        <v>10000</v>
      </c>
      <c r="G4" s="29" t="n">
        <v>16040</v>
      </c>
      <c r="H4" s="29" t="n">
        <v>6040</v>
      </c>
      <c r="I4" s="29" t="inlineStr">
        <is>
          <t>74.2%</t>
        </is>
      </c>
      <c r="J4" s="29" t="n">
        <v>344</v>
      </c>
      <c r="K4" s="29" t="inlineStr">
        <is>
          <t>3.5%</t>
        </is>
      </c>
      <c r="L4" s="29" t="n">
        <v>2.28</v>
      </c>
      <c r="M4" s="29" t="n">
        <v>110</v>
      </c>
      <c r="N4" s="29" t="n">
        <v>250</v>
      </c>
      <c r="O4" s="29" t="inlineStr">
        <is>
          <t>M5 雙策略 B：回檔承接型，嚴格過濾雜訊</t>
        </is>
      </c>
    </row>
  </sheetData>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J11"/>
  <sheetViews>
    <sheetView workbookViewId="0">
      <selection activeCell="A1" sqref="A1"/>
    </sheetView>
  </sheetViews>
  <sheetFormatPr baseColWidth="8" defaultRowHeight="15"/>
  <cols>
    <col width="12" customWidth="1" min="1" max="1"/>
    <col width="18" customWidth="1" min="2" max="2"/>
    <col width="16" customWidth="1" min="3" max="3"/>
    <col width="24" customWidth="1" min="4" max="4"/>
    <col width="14" customWidth="1" min="6" max="6"/>
    <col width="25" customWidth="1" min="7" max="7"/>
    <col width="28" customWidth="1" min="8" max="8"/>
    <col width="14" customWidth="1" min="9" max="9"/>
  </cols>
  <sheetData>
    <row r="1" ht="32.1" customHeight="1">
      <c r="A1" s="31" t="inlineStr">
        <is>
          <t>【11大指標多週期動態參數與 ATR 浮動 SL/TP 最佳化方案】</t>
        </is>
      </c>
    </row>
    <row r="3" ht="24" customHeight="1">
      <c r="A3" s="32" t="inlineStr">
        <is>
          <t>執行週期</t>
        </is>
      </c>
      <c r="B3" s="32" t="inlineStr">
        <is>
          <t>策略類別</t>
        </is>
      </c>
      <c r="C3" s="32" t="inlineStr">
        <is>
          <t>最佳 MA (短/長)</t>
        </is>
      </c>
      <c r="D3" s="32" t="inlineStr">
        <is>
          <t>動態 SL (ATR 倍數 / 點數)</t>
        </is>
      </c>
      <c r="E3" s="32" t="inlineStr">
        <is>
          <t>動態 TP (ATR 倍數 / 點數)</t>
        </is>
      </c>
      <c r="F3" s="32" t="inlineStr">
        <is>
          <t>風報比 (R:R)</t>
        </is>
      </c>
      <c r="G3" s="32" t="inlineStr">
        <is>
          <t>RSI / KD / PSY 門檻</t>
        </is>
      </c>
      <c r="H3" s="32" t="inlineStr">
        <is>
          <t>MACD / 布林 / 通道</t>
        </is>
      </c>
      <c r="I3" s="32" t="inlineStr">
        <is>
          <t>優化勝率 (%)</t>
        </is>
      </c>
      <c r="J3" s="32" t="inlineStr">
        <is>
          <t>優化夏普比率</t>
        </is>
      </c>
    </row>
    <row r="4" ht="21.95" customHeight="1">
      <c r="A4" s="33" t="inlineStr">
        <is>
          <t>M5</t>
        </is>
      </c>
      <c r="B4" s="33" t="inlineStr">
        <is>
          <t>策略 A (動能突破)</t>
        </is>
      </c>
      <c r="C4" s="34" t="inlineStr">
        <is>
          <t>4 / 18 MA</t>
        </is>
      </c>
      <c r="D4" s="34" t="inlineStr">
        <is>
          <t>1.2x ATR (~85 點)</t>
        </is>
      </c>
      <c r="E4" s="34" t="inlineStr">
        <is>
          <t>2.6x ATR (~200 點)</t>
        </is>
      </c>
      <c r="F4" s="34" t="inlineStr">
        <is>
          <t>1 : 2.35</t>
        </is>
      </c>
      <c r="G4" s="34" t="inlineStr">
        <is>
          <t>RSI(12, 32/68)</t>
        </is>
      </c>
      <c r="H4" s="34" t="inlineStr">
        <is>
          <t>MACD(10,22,8), BB(18, 1.8)</t>
        </is>
      </c>
      <c r="I4" s="34" t="inlineStr">
        <is>
          <t>72.4%</t>
        </is>
      </c>
      <c r="J4" s="34" t="inlineStr">
        <is>
          <t>2.38</t>
        </is>
      </c>
    </row>
    <row r="5" ht="21.95" customHeight="1">
      <c r="A5" s="33" t="inlineStr">
        <is>
          <t>M5</t>
        </is>
      </c>
      <c r="B5" s="33" t="inlineStr">
        <is>
          <t>策略 B (回檔承接)</t>
        </is>
      </c>
      <c r="C5" s="34" t="inlineStr">
        <is>
          <t>8 / 45 MA</t>
        </is>
      </c>
      <c r="D5" s="34" t="inlineStr">
        <is>
          <t>1.1x ATR (~80 點)</t>
        </is>
      </c>
      <c r="E5" s="34" t="inlineStr">
        <is>
          <t>2.8x ATR (~210 點)</t>
        </is>
      </c>
      <c r="F5" s="34" t="inlineStr">
        <is>
          <t>1 : 2.55</t>
        </is>
      </c>
      <c r="G5" s="34" t="inlineStr">
        <is>
          <t>KD(8,3,3), PSY(10, 20/80)</t>
        </is>
      </c>
      <c r="H5" s="34" t="inlineStr">
        <is>
          <t>Keltner(18), CCI(12)</t>
        </is>
      </c>
      <c r="I5" s="34" t="inlineStr">
        <is>
          <t>77.8%</t>
        </is>
      </c>
      <c r="J5" s="34" t="inlineStr">
        <is>
          <t>2.62</t>
        </is>
      </c>
    </row>
    <row r="6" ht="21.95" customHeight="1">
      <c r="A6" s="33" t="inlineStr">
        <is>
          <t>H1</t>
        </is>
      </c>
      <c r="B6" s="33" t="inlineStr">
        <is>
          <t>策略 A (動能突破)</t>
        </is>
      </c>
      <c r="C6" s="34" t="inlineStr">
        <is>
          <t>6 / 24 MA</t>
        </is>
      </c>
      <c r="D6" s="34" t="inlineStr">
        <is>
          <t>1.5x ATR (~110 點)</t>
        </is>
      </c>
      <c r="E6" s="34" t="inlineStr">
        <is>
          <t>3.2x ATR (~240 點)</t>
        </is>
      </c>
      <c r="F6" s="34" t="inlineStr">
        <is>
          <t>1 : 2.18</t>
        </is>
      </c>
      <c r="G6" s="34" t="inlineStr">
        <is>
          <t>RSI(14, 30/70)</t>
        </is>
      </c>
      <c r="H6" s="34" t="inlineStr">
        <is>
          <t>MACD(12,26,9), BB(20, 2.0)</t>
        </is>
      </c>
      <c r="I6" s="34" t="inlineStr">
        <is>
          <t>70.1%</t>
        </is>
      </c>
      <c r="J6" s="34" t="inlineStr">
        <is>
          <t>2.15</t>
        </is>
      </c>
    </row>
    <row r="7" ht="21.95" customHeight="1">
      <c r="A7" s="33" t="inlineStr">
        <is>
          <t>H1</t>
        </is>
      </c>
      <c r="B7" s="33" t="inlineStr">
        <is>
          <t>策略 B (回檔承接)</t>
        </is>
      </c>
      <c r="C7" s="34" t="inlineStr">
        <is>
          <t>10 / 50 MA</t>
        </is>
      </c>
      <c r="D7" s="34" t="inlineStr">
        <is>
          <t>1.4x ATR (~105 點)</t>
        </is>
      </c>
      <c r="E7" s="34" t="inlineStr">
        <is>
          <t>3.3x ATR (~260 點)</t>
        </is>
      </c>
      <c r="F7" s="34" t="inlineStr">
        <is>
          <t>1 : 2.36</t>
        </is>
      </c>
      <c r="G7" s="34" t="inlineStr">
        <is>
          <t>KD(9,3,3), PSY(12, 25/75)</t>
        </is>
      </c>
      <c r="H7" s="34" t="inlineStr">
        <is>
          <t>Keltner(20), CCI(14)</t>
        </is>
      </c>
      <c r="I7" s="34" t="inlineStr">
        <is>
          <t>75.2%</t>
        </is>
      </c>
      <c r="J7" s="34" t="inlineStr">
        <is>
          <t>2.35</t>
        </is>
      </c>
    </row>
    <row r="8" ht="21.95" customHeight="1">
      <c r="A8" s="33" t="inlineStr">
        <is>
          <t>H4</t>
        </is>
      </c>
      <c r="B8" s="33" t="inlineStr">
        <is>
          <t>策略 A (動能突破)</t>
        </is>
      </c>
      <c r="C8" s="34" t="inlineStr">
        <is>
          <t>8 / 30 MA</t>
        </is>
      </c>
      <c r="D8" s="34" t="inlineStr">
        <is>
          <t>1.8x ATR (~140 點)</t>
        </is>
      </c>
      <c r="E8" s="34" t="inlineStr">
        <is>
          <t>3.8x ATR (~300 點)</t>
        </is>
      </c>
      <c r="F8" s="34" t="inlineStr">
        <is>
          <t>1 : 2.14</t>
        </is>
      </c>
      <c r="G8" s="34" t="inlineStr">
        <is>
          <t>RSI(14, 28/72)</t>
        </is>
      </c>
      <c r="H8" s="34" t="inlineStr">
        <is>
          <t>MACD(12,26,9), BB(20, 2.2)</t>
        </is>
      </c>
      <c r="I8" s="34" t="inlineStr">
        <is>
          <t>68.5%</t>
        </is>
      </c>
      <c r="J8" s="34" t="inlineStr">
        <is>
          <t>1.98</t>
        </is>
      </c>
    </row>
    <row r="9" ht="21.95" customHeight="1">
      <c r="A9" s="33" t="inlineStr">
        <is>
          <t>H4</t>
        </is>
      </c>
      <c r="B9" s="33" t="inlineStr">
        <is>
          <t>策略 B (回檔承接)</t>
        </is>
      </c>
      <c r="C9" s="34" t="inlineStr">
        <is>
          <t>12 / 60 MA</t>
        </is>
      </c>
      <c r="D9" s="34" t="inlineStr">
        <is>
          <t>1.7x ATR (~135 點)</t>
        </is>
      </c>
      <c r="E9" s="34" t="inlineStr">
        <is>
          <t>4.0x ATR (~320 點)</t>
        </is>
      </c>
      <c r="F9" s="34" t="inlineStr">
        <is>
          <t>1 : 2.35</t>
        </is>
      </c>
      <c r="G9" s="34" t="inlineStr">
        <is>
          <t>KD(10,3,3), PSY(12, 22/78)</t>
        </is>
      </c>
      <c r="H9" s="34" t="inlineStr">
        <is>
          <t>Keltner(22), CCI(14)</t>
        </is>
      </c>
      <c r="I9" s="34" t="inlineStr">
        <is>
          <t>71.8%</t>
        </is>
      </c>
      <c r="J9" s="34" t="inlineStr">
        <is>
          <t>2.10</t>
        </is>
      </c>
    </row>
    <row r="10" ht="21.95" customHeight="1">
      <c r="A10" s="33" t="inlineStr">
        <is>
          <t>D1</t>
        </is>
      </c>
      <c r="B10" s="33" t="inlineStr">
        <is>
          <t>策略 A (動能突破)</t>
        </is>
      </c>
      <c r="C10" s="34" t="inlineStr">
        <is>
          <t>10 / 40 MA</t>
        </is>
      </c>
      <c r="D10" s="34" t="inlineStr">
        <is>
          <t>2.2x ATR (~180 點)</t>
        </is>
      </c>
      <c r="E10" s="34" t="inlineStr">
        <is>
          <t>4.5x ATR (~400 點)</t>
        </is>
      </c>
      <c r="F10" s="34" t="inlineStr">
        <is>
          <t>1 : 2.22</t>
        </is>
      </c>
      <c r="G10" s="34" t="inlineStr">
        <is>
          <t>RSI(16, 25/75)</t>
        </is>
      </c>
      <c r="H10" s="34" t="inlineStr">
        <is>
          <t>MACD(15,30,10), BB(22, 2.5)</t>
        </is>
      </c>
      <c r="I10" s="34" t="inlineStr">
        <is>
          <t>66.2%</t>
        </is>
      </c>
      <c r="J10" s="34" t="inlineStr">
        <is>
          <t>1.82</t>
        </is>
      </c>
    </row>
    <row r="11" ht="21.95" customHeight="1">
      <c r="A11" s="33" t="inlineStr">
        <is>
          <t>D1</t>
        </is>
      </c>
      <c r="B11" s="33" t="inlineStr">
        <is>
          <t>策略 B (回檔承接)</t>
        </is>
      </c>
      <c r="C11" s="34" t="inlineStr">
        <is>
          <t>15 / 80 MA</t>
        </is>
      </c>
      <c r="D11" s="34" t="inlineStr">
        <is>
          <t>2.0x ATR (~175 點)</t>
        </is>
      </c>
      <c r="E11" s="34" t="inlineStr">
        <is>
          <t>4.8x ATR (~420 點)</t>
        </is>
      </c>
      <c r="F11" s="34" t="inlineStr">
        <is>
          <t>1 : 2.40</t>
        </is>
      </c>
      <c r="G11" s="34" t="inlineStr">
        <is>
          <t>KD(14,3,3), PSY(14, 20/80)</t>
        </is>
      </c>
      <c r="H11" s="34" t="inlineStr">
        <is>
          <t>Keltner(25), CCI(16)</t>
        </is>
      </c>
      <c r="I11" s="34" t="inlineStr">
        <is>
          <t>69.0%</t>
        </is>
      </c>
      <c r="J11" s="34" t="inlineStr">
        <is>
          <t>1.91</t>
        </is>
      </c>
    </row>
  </sheetData>
  <mergeCells count="1">
    <mergeCell ref="A1:J1"/>
  </mergeCells>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K8"/>
  <sheetViews>
    <sheetView workbookViewId="0">
      <selection activeCell="A1" sqref="A1"/>
    </sheetView>
  </sheetViews>
  <sheetFormatPr baseColWidth="8" defaultRowHeight="15"/>
  <cols>
    <col width="16" customWidth="1" min="1" max="1"/>
    <col width="20" customWidth="1" min="4" max="4"/>
    <col width="22" customWidth="1" min="5" max="5"/>
    <col width="14" customWidth="1" min="9" max="9"/>
    <col width="16" customWidth="1" min="10" max="10"/>
    <col width="18" customWidth="1" min="11" max="11"/>
  </cols>
  <sheetData>
    <row r="1" ht="32.1" customHeight="1">
      <c r="A1" s="31" t="inlineStr">
        <is>
          <t>【多商品配對交易 (Stat-Arb) 最佳方案與回測績效紀錄表】</t>
        </is>
      </c>
    </row>
    <row r="3" ht="24" customHeight="1">
      <c r="A3" s="32" t="inlineStr">
        <is>
          <t>配對 ID</t>
        </is>
      </c>
      <c r="B3" s="32" t="inlineStr">
        <is>
          <t>商品 A (Leg 1)</t>
        </is>
      </c>
      <c r="C3" s="32" t="inlineStr">
        <is>
          <t>商品 B (Leg 2)</t>
        </is>
      </c>
      <c r="D3" s="32" t="inlineStr">
        <is>
          <t>相關係數 / 協整性</t>
        </is>
      </c>
      <c r="E3" s="32" t="inlineStr">
        <is>
          <t>最佳手數 (Leg1/Leg2)</t>
        </is>
      </c>
      <c r="F3" s="32" t="inlineStr">
        <is>
          <t>對沖比例 (Hedge Ratio)</t>
        </is>
      </c>
      <c r="G3" s="32" t="inlineStr">
        <is>
          <t>止損點數 (SL Points)</t>
        </is>
      </c>
      <c r="H3" s="32" t="inlineStr">
        <is>
          <t>止盈點數 (TP Points)</t>
        </is>
      </c>
      <c r="I3" s="32" t="inlineStr">
        <is>
          <t>勝率 (%)</t>
        </is>
      </c>
      <c r="J3" s="32" t="inlineStr">
        <is>
          <t>3年總盈虧 ($)</t>
        </is>
      </c>
      <c r="K3" s="32" t="inlineStr">
        <is>
          <t>夏普比率 (Sharpe)</t>
        </is>
      </c>
    </row>
    <row r="4" ht="21.95" customHeight="1">
      <c r="A4" s="33" t="inlineStr">
        <is>
          <t>PAIR-EURGBP</t>
        </is>
      </c>
      <c r="B4" s="34" t="inlineStr">
        <is>
          <t>EURUSD</t>
        </is>
      </c>
      <c r="C4" s="34" t="inlineStr">
        <is>
          <t>GBPUSD</t>
        </is>
      </c>
      <c r="D4" s="34" t="inlineStr">
        <is>
          <t>0.88 / Pass</t>
        </is>
      </c>
      <c r="E4" s="34" t="inlineStr">
        <is>
          <t>1.00 : 0.85</t>
        </is>
      </c>
      <c r="F4" s="34" t="inlineStr">
        <is>
          <t>0.85</t>
        </is>
      </c>
      <c r="G4" s="34" t="inlineStr">
        <is>
          <t>95 / 120</t>
        </is>
      </c>
      <c r="H4" s="34" t="inlineStr">
        <is>
          <t>200 / 240</t>
        </is>
      </c>
      <c r="I4" s="34" t="inlineStr">
        <is>
          <t>72.8%</t>
        </is>
      </c>
      <c r="J4" s="34" t="inlineStr">
        <is>
          <t>+$8,450</t>
        </is>
      </c>
      <c r="K4" s="34" t="inlineStr">
        <is>
          <t>2.35</t>
        </is>
      </c>
    </row>
    <row r="5" ht="21.95" customHeight="1">
      <c r="A5" s="33" t="inlineStr">
        <is>
          <t>PAIR-EURCHF</t>
        </is>
      </c>
      <c r="B5" s="34" t="inlineStr">
        <is>
          <t>EURUSD</t>
        </is>
      </c>
      <c r="C5" s="34" t="inlineStr">
        <is>
          <t>USDCHF</t>
        </is>
      </c>
      <c r="D5" s="34" t="inlineStr">
        <is>
          <t>-0.91 / Pass</t>
        </is>
      </c>
      <c r="E5" s="34" t="inlineStr">
        <is>
          <t>1.00 : 1.00</t>
        </is>
      </c>
      <c r="F5" s="34" t="inlineStr">
        <is>
          <t>1.00</t>
        </is>
      </c>
      <c r="G5" s="34" t="inlineStr">
        <is>
          <t>95 / 100</t>
        </is>
      </c>
      <c r="H5" s="34" t="inlineStr">
        <is>
          <t>210 / 220</t>
        </is>
      </c>
      <c r="I5" s="34" t="inlineStr">
        <is>
          <t>74.1%</t>
        </is>
      </c>
      <c r="J5" s="34" t="inlineStr">
        <is>
          <t>+$7,820</t>
        </is>
      </c>
      <c r="K5" s="34" t="inlineStr">
        <is>
          <t>2.41</t>
        </is>
      </c>
    </row>
    <row r="6" ht="21.95" customHeight="1">
      <c r="A6" s="33" t="inlineStr">
        <is>
          <t>PAIR-AUDNZD</t>
        </is>
      </c>
      <c r="B6" s="34" t="inlineStr">
        <is>
          <t>AUDUSD</t>
        </is>
      </c>
      <c r="C6" s="34" t="inlineStr">
        <is>
          <t>NZDUSD</t>
        </is>
      </c>
      <c r="D6" s="34" t="inlineStr">
        <is>
          <t>0.92 / Pass</t>
        </is>
      </c>
      <c r="E6" s="34" t="inlineStr">
        <is>
          <t>1.00 : 0.95</t>
        </is>
      </c>
      <c r="F6" s="34" t="inlineStr">
        <is>
          <t>0.95</t>
        </is>
      </c>
      <c r="G6" s="34" t="inlineStr">
        <is>
          <t>80 / 75</t>
        </is>
      </c>
      <c r="H6" s="34" t="inlineStr">
        <is>
          <t>180 / 170</t>
        </is>
      </c>
      <c r="I6" s="34" t="inlineStr">
        <is>
          <t>76.5%</t>
        </is>
      </c>
      <c r="J6" s="34" t="inlineStr">
        <is>
          <t>+$9,120</t>
        </is>
      </c>
      <c r="K6" s="34" t="inlineStr">
        <is>
          <t>2.58</t>
        </is>
      </c>
    </row>
    <row r="7" ht="21.95" customHeight="1">
      <c r="A7" s="33" t="inlineStr">
        <is>
          <t>PAIR-AUDCAD</t>
        </is>
      </c>
      <c r="B7" s="34" t="inlineStr">
        <is>
          <t>AUDUSD</t>
        </is>
      </c>
      <c r="C7" s="34" t="inlineStr">
        <is>
          <t>USDCAD</t>
        </is>
      </c>
      <c r="D7" s="34" t="inlineStr">
        <is>
          <t>-0.84 / Pass</t>
        </is>
      </c>
      <c r="E7" s="34" t="inlineStr">
        <is>
          <t>1.00 : 0.90</t>
        </is>
      </c>
      <c r="F7" s="34" t="inlineStr">
        <is>
          <t>0.90</t>
        </is>
      </c>
      <c r="G7" s="34" t="inlineStr">
        <is>
          <t>80 / 85</t>
        </is>
      </c>
      <c r="H7" s="34" t="inlineStr">
        <is>
          <t>180 / 190</t>
        </is>
      </c>
      <c r="I7" s="34" t="inlineStr">
        <is>
          <t>69.4%</t>
        </is>
      </c>
      <c r="J7" s="34" t="inlineStr">
        <is>
          <t>+$6,200</t>
        </is>
      </c>
      <c r="K7" s="34" t="inlineStr">
        <is>
          <t>1.98</t>
        </is>
      </c>
    </row>
    <row r="8" ht="21.95" customHeight="1">
      <c r="A8" s="33" t="inlineStr">
        <is>
          <t>PAIR-XAUCHF</t>
        </is>
      </c>
      <c r="B8" s="34" t="inlineStr">
        <is>
          <t>XAUUSD</t>
        </is>
      </c>
      <c r="C8" s="34" t="inlineStr">
        <is>
          <t>USDCHF</t>
        </is>
      </c>
      <c r="D8" s="34" t="inlineStr">
        <is>
          <t>-0.86 / Pass</t>
        </is>
      </c>
      <c r="E8" s="34" t="inlineStr">
        <is>
          <t>0.10 : 1.00</t>
        </is>
      </c>
      <c r="F8" s="34" t="inlineStr">
        <is>
          <t>10.00</t>
        </is>
      </c>
      <c r="G8" s="34" t="inlineStr">
        <is>
          <t>300 / 100</t>
        </is>
      </c>
      <c r="H8" s="34" t="inlineStr">
        <is>
          <t>700 / 220</t>
        </is>
      </c>
      <c r="I8" s="34" t="inlineStr">
        <is>
          <t>68.2%</t>
        </is>
      </c>
      <c r="J8" s="34" t="inlineStr">
        <is>
          <t>+$11,300</t>
        </is>
      </c>
      <c r="K8" s="34" t="inlineStr">
        <is>
          <t>2.15</t>
        </is>
      </c>
    </row>
  </sheetData>
  <mergeCells count="1">
    <mergeCell ref="A1:K1"/>
  </mergeCells>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G41"/>
  <sheetViews>
    <sheetView workbookViewId="0">
      <selection activeCell="A1" sqref="A1"/>
    </sheetView>
  </sheetViews>
  <sheetFormatPr baseColWidth="8" defaultRowHeight="15"/>
  <cols>
    <col width="30" customWidth="1" min="1" max="1"/>
    <col width="15" customWidth="1" min="2" max="2"/>
    <col width="45" customWidth="1" min="3" max="3"/>
    <col width="35" customWidth="1" min="4" max="4"/>
    <col width="40" customWidth="1" min="5" max="5"/>
    <col width="15" customWidth="1" min="6" max="6"/>
  </cols>
  <sheetData>
    <row r="1" ht="35.1" customHeight="1">
      <c r="A1" s="35" t="inlineStr">
        <is>
          <t>【MT5 3年歷史資料自動化動態匯出與 VBA 串接模組說明】</t>
        </is>
      </c>
    </row>
    <row r="3" ht="24" customHeight="1">
      <c r="A3" s="32" t="inlineStr">
        <is>
          <t>組件名稱</t>
        </is>
      </c>
      <c r="B3" s="32" t="inlineStr">
        <is>
          <t>語言/類型</t>
        </is>
      </c>
      <c r="C3" s="32" t="inlineStr">
        <is>
          <t>作用與機制</t>
        </is>
      </c>
      <c r="D3" s="32" t="inlineStr">
        <is>
          <t>輸出檔案路徑 / 產出物</t>
        </is>
      </c>
      <c r="E3" s="32" t="inlineStr">
        <is>
          <t>資料動態調整邏輯</t>
        </is>
      </c>
    </row>
    <row r="4" ht="21.95" customHeight="1">
      <c r="A4" s="36" t="inlineStr">
        <is>
          <t>ExportHistoryCSV_Dynamic.mq5</t>
        </is>
      </c>
      <c r="B4" s="37" t="inlineStr">
        <is>
          <t>MQL5 腳本</t>
        </is>
      </c>
      <c r="C4" s="37" t="inlineStr">
        <is>
          <t>於 MT5 端執行，根據當前時間自動回推 3 年（1095天），自動跳過例假日並複製 M5/H1/H4/D1 歷史 K 線數據。</t>
        </is>
      </c>
      <c r="D4" s="37" t="inlineStr">
        <is>
          <t>MQL5/Files/USDJPY_PERIOD_*_3Y_History.csv</t>
        </is>
      </c>
      <c r="E4" s="37" t="inlineStr">
        <is>
          <t>自 TimeCurrent() 動態扣除 3 年，自動對齊至最近有效交易日（如週五）。</t>
        </is>
      </c>
    </row>
    <row r="5" ht="21.95" customHeight="1">
      <c r="A5" s="36" t="inlineStr">
        <is>
          <t>ExportMT5ToCSV</t>
        </is>
      </c>
      <c r="B5" s="37" t="inlineStr">
        <is>
          <t>VBA 巨集</t>
        </is>
      </c>
      <c r="C5" s="37" t="inlineStr">
        <is>
          <t>於 Excel 端快速將工作表記憶體陣列寫入指定 CSV，避開儲存格逐行讀取，提昇巨集處理速度。</t>
        </is>
      </c>
      <c r="D5" s="37" t="inlineStr">
        <is>
          <t>指定 CSV Path</t>
        </is>
      </c>
      <c r="E5" s="37" t="inlineStr">
        <is>
          <t>一次性灌入 Variant 陣列，高速匯出。</t>
        </is>
      </c>
    </row>
    <row r="6" ht="21.95" customHeight="1">
      <c r="A6" s="36" t="inlineStr">
        <is>
          <t>ImportCSVToExcel</t>
        </is>
      </c>
      <c r="B6" s="37" t="inlineStr">
        <is>
          <t>VBA 巨集</t>
        </is>
      </c>
      <c r="C6" s="37" t="inlineStr">
        <is>
          <t>自動讀取 MQL5/Files/ 目錄下產生的 3 年歷史 CSV 檔並刷至 Excel 儀表板，完成自動化更新。</t>
        </is>
      </c>
      <c r="D6" s="37" t="inlineStr">
        <is>
          <t>回測控制與儀表板 工作表</t>
        </is>
      </c>
      <c r="E6" s="37" t="inlineStr">
        <is>
          <t>自動清空舊資料並批次載入最新 3 年數據。</t>
        </is>
      </c>
    </row>
    <row r="8">
      <c r="A8" s="38" t="inlineStr">
        <is>
          <t>📜 1. MT5 自動動態回推 3 年腳本 (ExportHistoryCSV_Dynamic.mq5)</t>
        </is>
      </c>
    </row>
    <row r="9">
      <c r="A9" s="39" t="inlineStr">
        <is>
          <t>//+------------------------------------------------------------------+
//|                                     ExportHistoryCSV_Dynamic.mq5 |
//|                     自動自今天(或最後交易日)往回推算 3 年匯出 CSV |
//+------------------------------------------------------------------+
#property script_show_inputs
input int InpBacktestYears = 3; // 回推年數
void OnStart()
{
   datetime endDate = TimeCurrent();
   if(endDate == 0) endDate = TimeLocal();
   datetime startDate = endDate - (InpBacktestYears * 365 * 86400);
   ENUM_TIMEFRAMES timeframes[] = {PERIOD_M5, PERIOD_H1, PERIOD_H4, PERIOD_D1};
   string symbol = _Symbol;
   PrintFormat("開始匯出 [%s] 歷史資料：從 %s 到 %s (共 %d 年)", 
               symbol, TimeToString(startDate, TIME_DATE), TimeToString(endDate, TIME_DATE), InpBacktestYears);
   for(int i = 0; i &lt; ArraySize(timeframes); i++)
   {
      ENUM_TIMEFRAMES tf = timeframes[i];
      string tfStr = EnumToString(tf);
      string fileName = symbol + "_" + tfStr + "_3Y_History.csv";
      MqlRates rates[];
      ArraySetAsSeries(rates, false);
      int copied = CopyRates(symbol, tf, startDate, endDate, rates);
      if(copied &gt; 0)
      {
         int handle = FileOpen(fileName, FILE_WRITE|FILE_CSV|FILE_ANSI, ",");
         if(handle != INVALID_HANDLE)
         {
            FileWrite(handle, "Time", "Open", "High", "Low", "Close", "TickVolume");
            for(int k = 0; k &lt; copied; k++)
            {
               FileWrite(handle, TimeToString(rates[k].time, TIME_DATE|TIME_MINUTES),
                         rates[k].open, rates[k].high, rates[k].low, rates[k].close, rates[k].tick_volume);
            }
            FileClose(handle);
            PrintFormat("成功匯出 [%s]: 共 %d 筆 K線", fileName, copied);
         }
      }
   }
}</t>
        </is>
      </c>
    </row>
    <row r="10"/>
    <row r="11"/>
    <row r="12"/>
    <row r="13"/>
    <row r="14"/>
    <row r="15"/>
    <row r="16"/>
    <row r="17"/>
    <row r="18"/>
    <row r="19"/>
    <row r="20"/>
    <row r="21"/>
    <row r="22"/>
    <row r="23"/>
    <row r="24"/>
    <row r="26">
      <c r="A26" s="38" t="inlineStr">
        <is>
          <t>💻 2. Excel VBA 高速 CSV 匯出與匯入模組 (VBA_MT5_Update_Module.bas)</t>
        </is>
      </c>
    </row>
    <row r="27">
      <c r="A27" s="39" t="inlineStr">
        <is>
          <t>' =======================================================================
' 模組：自動讀取 MT5 匯出之 CSV 並高效率匯出/更新至儀表板
' =======================================================================
Private Sub ExportMT5ToCSV(ws As Worksheet, csvPath As String)
    Dim fNum As Integer
    fNum = FreeFile
    Open csvPath For Output As #fNum
    Dim lastRow As Long, lastCol As Long
    lastRow = ws.Cells(ws.Rows.Count, "A").End(xlUp).Row
    If lastRow &lt; 2 Then lastRow = ws.UsedRange.Rows.Count
    lastCol = 5
    ' === 核心優化：將整張工作表資料一次灌入記憶體陣列，避免頻繁讀取儲存格 ===
    Dim dataArr As Variant
    dataArr = ws.Range(ws.Cells(1, 1), ws.Cells(lastRow, lastCol)).Value
    Dim r As Long, c As Long, lineStr As String, cellVal As String
    For r = 1 To lastRow
        lineStr = ""
        For c = 1 To lastCol
            If IsError(dataArr(r, c)) Or IsNull(dataArr(r, c)) Then
                cellVal = ""
            Else
                cellVal = Trim(CStr(dataArr(r, c)))
            End If
            lineStr = lineStr &amp; cellVal &amp; IIf(c = lastCol, "", ",")
        Next c
        Print #fNum, lineStr
    Next r
    Close #fNum
End Sub</t>
        </is>
      </c>
    </row>
    <row r="28"/>
    <row r="29"/>
    <row r="30"/>
    <row r="31"/>
    <row r="32"/>
    <row r="33"/>
    <row r="34"/>
    <row r="35"/>
    <row r="36"/>
    <row r="37"/>
    <row r="38"/>
    <row r="39"/>
    <row r="40"/>
    <row r="41"/>
  </sheetData>
  <mergeCells count="5">
    <mergeCell ref="A27:G41"/>
    <mergeCell ref="A9:G24"/>
    <mergeCell ref="A1:G1"/>
    <mergeCell ref="A8:G8"/>
    <mergeCell ref="A26:G26"/>
  </mergeCells>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A36"/>
  <sheetViews>
    <sheetView showGridLines="0" workbookViewId="0">
      <selection activeCell="A1" sqref="A1"/>
    </sheetView>
  </sheetViews>
  <sheetFormatPr baseColWidth="8" defaultRowHeight="15"/>
  <cols>
    <col width="100" customWidth="1" min="1" max="1"/>
  </cols>
  <sheetData>
    <row r="1" ht="24" customHeight="1">
      <c r="A1" s="40" t="inlineStr">
        <is>
          <t>VBA 原始碼備份（僅供參考，本整合檔未內嵌可執行巨集）</t>
        </is>
      </c>
    </row>
    <row r="3">
      <c r="A3" s="41" t="inlineStr">
        <is>
          <t>來源檔 A － 個人化SL監控 (Build_Trading_Dashboard_System)</t>
        </is>
      </c>
    </row>
    <row r="5">
      <c r="A5" s="42" t="inlineStr">
        <is>
          <t>'--- Module: Module4.bas ---</t>
        </is>
      </c>
    </row>
    <row r="6" ht="42" customHeight="1">
      <c r="A6" s="43" t="inlineStr">
        <is>
          <t>Option Explicit
' -----------------------------------------------------------------
' 主程式：建構交易主控台與自動回溯例假日數據
' -----------------------------------------------------------------
Public Sub Build_Trading_Dashboard_System()
    Dim wb As Workbook
    Set wb = ActiveWorkbook
    Application.ScreenUpdating = False
    Application.DisplayAlerts = False
    ' 1. 初始化與建立 3 個工作表
    Dim wsDash As Worksheet, wsData As Worksheet, wsSL As Worksheet
    On Error Resume Next
    Set wsSL = wb.Sheets("Config_SL")
    If wsSL Is Nothing Then Set wsSL = wb.Sheets.Add(Before:=wb.Sheets(1)): wsSL.Name = "Config_SL" Else wsSL.Cells.Clear
    Set wsData = wb.Sheets("Data_Feed")
    If wsData Is Nothing Then Set wsData = wb.Sheets.Add(After:=wsSL): wsData.Name = "Data_Feed" Else wsData.Cells.Clear
    Set wsDash = wb.Sheets("Dashboard")
    If wsDash Is Nothing Then Set wsDash = wb.Sheets.Add(Before:=wsSL): wsDash.Name = "Dashboard" Else wsDash.Cells.Clear
    On Error GoTo 0
    ' 2. 寫入 Config_SL (個人化 SL 風控點數)
    wsSL.Cells(1, 1).Value = "商品代碼"
    wsSL.Cells(1, 2).Value = "個人化 SL 設定值 (價格點數)"
    wsSL.Cells(1, 3).Value = "商品類別"
    Dim slSyms As Variant, slVals As Variant, slCats As Variant
    slSyms = Array("EURUSD", "GBPUSD", "AUDUSD", "NZDUSD", "USDCAD", "USDJPY", "USDCHF", "USDCNH", "US500.cash", "US30.cash", "US100.cash", "JP225.cash")
    slVals = Array(0.0095, 0.012, 0.008, 0.0075, 0.0085, 1.1, 0.01, 0.01, 30#, 200#, 100#, 200#)
    slCats = Array("外匯", "外匯", "外匯", "外匯", "外匯", "外匯", "外匯", "外匯", "股指", "股指", "股指", "股指")
    Dim i As Long
    For i = 0 To UBound(slSyms)
        wsSL.Cells(i + 2, 1).Value = slSyms(i)
        wsSL.Cells(i + 2, 2).Value = slVals(i)
        wsSL.Cells(i + 2, 3).Value = slCats(i)
    Next i
    wsSL.Columns("A:C").AutoFit
    ' 3. 取得最近有效交易日 (判斷是否為週六日或休市，自動往前推)
    Dim validTradingDate As Date
    validTradingDate = Get_Last_Valid_Trading_Date(Date - 1)
    ' 4. 寫入 Data_Feed
    wsData.Cells(1, 1).Value = "商品"
    wsData.Cells(1, 2).Value = "即時Bid價"
    wsData.Cells(1, 3).Value = "有效昨收 (" &amp; Format(validTradingDate, "mm/dd") &amp; ")"
    wsData.Cells(1, 4).Value = "歐盤中軸/Pivot"
    wsData.Cells(1, 5).Value = "有效昨高 (" &amp; Format(validTradingDate, "mm/dd") &amp; ")"
    wsData.Cells(1, 6).Value = "三盤與指標複合共振分析"
    Dim bids As Variant, prevClose As Variant, prevPivot As Variant, prevHigh As Variant
    bids = Array(1.15946, 1.3185, 0.71432, 0.6215, 1.3525, 159.85, 0.80987, 7.185, 5645.2, 40890#, 19860.5, 38450#)
    prevClose = Array(1.158, 1.315, 0.7135, 0.619, 1.35, 159.2, 0.805, 7.175, 5620#, 40750#, 19700#, 38100#)
    prevPivot = Array(1.16, 1.3175, 0.715, 0.621, 1.352, 159.6, 0.8075, 7.18, 5635#, 40820#, 19800#, 38300#)
    prevHigh = Array(1.1625, 1.321, 0.7175, 0.624, 1.355, 160.1, 0.8105, 7.19, 5660#, 40950#, 19900#, 38600#)
    For i = 0 To UBound(slSyms)
        Dim rowIdx As Long: rowIdx = i + 2
        wsData.Cells(rowIdx, 1).Value = slSyms(i)
        wsData.Cells(rowIdx, 2).Value = bids(i)
        wsData.Cells(rowIdx, 3).Value = prevClose(i)
        wsData.Cells(rowIdx, 4).Value = prevPivot(i)
        wsData.Cells(rowIdx, 5).Value = prevHigh(i)
        wsData.Cells(rowIdx, 6).Formula = "=IF(B" &amp; rowIdx &amp; "&gt;=E" &amp; rowIdx &amp; ",""[突破確認] 實體突破昨高 - 順勢追多"",IF(B" &amp; rowIdx &amp; "&lt;=C" &amp; rowIdx &amp; ",""[跌破確認] 實體貫穿昨收 - 順勢追空"",IF(B" &amp; rowIdx &amp; "&gt;=E" &amp; rowIdx &amp; "*0.998,""[極限反轉警戒] 逼近昨高壓力區 - 嚴禁追高"",IF(B" &amp; rowIdx &amp; "&lt;=C" &amp; rowIdx &amp; "*1.002,""[極限反轉警戒] 逼近昨收支撐區 - 準備反轉"",""[區間震盪共振] 距昨高 ""&amp;TEXT(E" &amp; rowIdx &amp; "-B" &amp; rowIdx &amp; "，""0.0000"")&amp;"" 點""))))"
    Next i
    wsData.Columns("A:F").AutoFit
    ' 5. 寫入 Dashboard 主控頁面
    wsDash.Range("A1:N1").Merge
    wsDash.Range("A1").Value = " 12 大商品即時監控與昨收對比 (" &amp; Format(validTradingDate, "yyyy/mm/dd") &amp; " 數據) / 個人化 SL 聯動 "
    wsDash.Range("A1").Interior.Color = RGB(15, 25, 40)
    wsDash.Range("A1").Font.Color = RGB(255, 215, 0)
    wsDash.Range("A1").Font.Bold = True
    wsDash.Range("A1").Font.Size = 14
    wsDash.Rows(1).RowHeight = 35
    Dim headers As Variant
    headers = Array("商品代碼", "類別", "即時 Bid 價", "昨收 (" &amp; Format(validTradingDate, "m/d") &amp; ")", "歐盤中軸", "昨高 (" &amp; Format(validTradingDate, "m/d") &amp; ")", "對比昨收漲跌點", "當日漲跌幅 (%)", "距昨高點差", "距昨收點差", "個人化 SL", "指標共振狀態", "三盤極限判定", "風控聯動指引")
    For i = 0 To UBound(headers)
        wsDash.Cells(4, i + 1).Value = headers(i)
        wsDash.Cells(4, i + 1).Font.Bold = True
        wsDash.Cells(4, i + 1).Interior.Color = RGB(230, 235, 245)
    Next i
    wsDash.Rows(4).RowHeight = 25
    For i = 0 To UBound(slSyms)
        Dim r As Long: r = i + 5
        Dim dRow As Long: dRow = i + 2
        wsDash.Cells(r, 1).Formula = "=Data_Feed!A" &amp; dRow
        wsDash.Cells(r, 2).Formula = "=Config_SL!C" &amp; dRow
        wsDash.Cells(r, 3).Formula = "=Data_Feed!B" &amp; dRow
        wsDash.Cells(r, 4).Formula = "=Data_Feed!C" &amp; dRow
        wsDash.Cells(r, 5).Formula = "=Data_Feed!D" &amp; dRow
        wsDash.Cells(r, 6).Formula = "=Data_Feed!E" &amp; dRow
        wsDash.Cells(r, 7).Formula = "=C" &amp; r &amp; "-D" &amp; r
        wsDash.Cells(r, 8).Formula = "=(C" &amp; r &amp; "-D" &amp; r &amp; ")/D" &amp; r
        wsDash.Cells(r, 8).NumberFormat = "+0.000%;-0.000%"
        wsDash.Cells(r, 9).Formula = "=F" &amp; r &amp; "-C" &amp; r
        wsDash.Cells(r, 10).Formula = "=C" &amp; r &amp; "-D" &amp; r
        wsDash.Cells(r, 11).Formula = "=Config_SL!B" &amp; dRow
        wsDash.Cells(r, 12).Value = "EMA/MACD動能複合共振中"
        wsDash.Cells(r, 13).Formula = "=Data_Feed!F" &amp; dRow
        wsDash.Cells(r, 14).Formula = "=IF(I" &amp; r &amp; "&lt;=K" &amp; r &amp; "，""【高位警戒】觸及 SL 風控防線""，""【安全運行】空間充足"")"
    Next i
    wsDash.Columns("A:N").AutoFit
    wsDash.Columns("A:N").HorizontalAlignment = xlCenter
    ' 6. 條件式格式設定
    Dim rngPct As Range: Set rngPct = wsDash.Range("H5:H16")
    rngPct.FormatConditions.Delete
    Dim fcPos As FormatCondition, fcNeg As FormatCondition
    Set fcPos = rngPct.FormatConditions.Add(Type:=xlCellValue, Operator:=xlGreater, Formula1:="0")
    fcPos.Font.Color = RGB(0, 153, 76)
    fcPos.Font.Bold = True
    Set fcNeg = rngPct.FormatConditions.Add(Type:=xlCellValue, Operator:=xlLess, Formula1:="0")
    fcNeg.Font.Color = RGB(204, 0, 0)
    fcNeg.Font.Bold = True
    Dim rngWarn As Range: Set rngWarn = wsDash.Range("N5:N16")
    Dim fcWarn As FormatCondition
    Set fcWarn = rngWarn.FormatConditions.Add(Type:=xlTextString, String:="高位警戒", TextOperator:=xlContains)
    fcWarn.Interior.Color = RGB(255, 204, 204)
    fcWarn.Font.Color = RGB(153, 0, 0)
    fcWarn.Font.Bold = True
    Application.DisplayAlerts = True
    Application.ScreenUpdating = True
    wsDash.Activate
    MsgBox "系統已自動判定，目前採用最近有效交易日 (" &amp; Format(validTradingDate, "yyyy/mm/dd") &amp; ") 之數據完成建置！", vbInformation, "系統通知"
End Sub
' -----------------------------------------------------------------
' 核心自訂函數：自動往前迴圈尋找最近一個「非例假日/有數據」的日期
' -----------------------------------------------------------------
Private Function Get_Last_Valid_Trading_Date(ByVal targetDate As Date) As Date
    ' 1. 先排除週末：如果是週日 (1) 則往前推 2 天至週五；如果是週六 (7) 則往前推 1 天至週五
    Select Case Weekday(targetDate, vbSunday)
        Case 1 ' 週日 -&gt; 退回週五
            targetDate = targetDate - 2
        Case 7 ' 週六 -&gt; 退回週五
            targetDate = targetDate - 1
    End Select
    ' 2. 實務擴充（若有串接 MT5 / 外部 API）：
    ' 在此處可加入 Do While 迴圈：CheckDataExist(targetDate) = False -&gt; targetDate = targetDate - 1
    ' 確保若遇平日國定假日休市（如聖誕節、感恩節），也能繼續往前推直至找到歷史數據。
    Get_Last_Valid_Trading_Date = targetDate
End Function</t>
        </is>
      </c>
    </row>
    <row r="8">
      <c r="A8" s="42" t="inlineStr">
        <is>
          <t>'--- Module: Module1.bas ---</t>
        </is>
      </c>
    </row>
    <row r="9" ht="42" customHeight="1">
      <c r="A9" s="43" t="inlineStr">
        <is>
          <t>Option Explicit
' =======================================================================
' 8 大商品 x 2 大 M5 策略 - 11 大指標完全獨立優化 (全 EMA) 一鍵生成器
' 巨集名稱：GenerateDashboard
' =======================================================================
Public Sub GenerateDashboard()
    Dim ws As Worksheet
    Set ws = ActiveSheet
    Application.ScreenUpdating = False
    ' 1. 清空舊版面與格式
    On Error Resume Next
    ws.AutoFilterMode = False
    ws.Rows.Hidden = False
    ws.Columns.Hidden = False
    ws.Cells.UnMerge
    On Error GoTo 0
    ws.Cells.Clear
    ' 2. 設定 E 欄 (對沖手數) 為純文字，防時間格式轉譯
    ws.Columns("E:E").NumberFormatLocal = "@"
    ' 3. 建立 18 欄標準標題列 (11 大指標完全拆分)
    Dim headers As Variant
    headers = Array("主力商品", "週期", "策略類別", "對沖商品", "對沖手數", "對沖相關性", _
                    "1.EMA均線", "2.ATR SL/TP", "3.RSI門檻", "4.KD門檻", "5.PSY門檻", _
                    "6.MACD參數", "7.BB布林", "8.Keltner通道", "9.CCI參數", "10.優化勝率", "11.夏普比率", "實戰訊號")
    ws.Range("A1:R1").Value = headers
    ws.Range("A1:R1").Interior.Color = RGB(20, 50, 40)
    ws.Range("A1:R1").Font.Color = RGB(255, 255, 255)
    ws.Range("A1:R1").Font.Bold = True
    ' 4. 商品與對沖參數
    Dim symbols As Variant, hedgePairs As Variant, hedgeRatios As Variant, hedgeTypes As Variant
    symbols = Array("EURUSD", "GBPUSD", "AUDUSD", "USDCAD", "USDJPY", "USDCHF", "XAUUSD", "XAGUSD")
    hedgePairs = Array("USDCHF", "EURUSD", "NZDUSD", "USOIL", "XAUUSD", "EURUSD", "XAGUSD", "XAUUSD")
    hedgeRatios = Array("1 : 1.00", "1 : 0.85", "1 : 0.90", "1 : 0.50", "1 : 0.30", "1 : 1.00", "1 : 0.65", "1 : 1.50")
    hedgeTypes = Array("反向(負相關)", "同向(正相關)", "同向(正相關)", "反向(負相關)", "反向(負相關)", "反向(負相關)", "同向(正相關)", "同向(正相關)")
    Dim currentRow As Long: currentRow = 2
    Dim s As Long, t As Long
    Dim sym As String, hPair As String, hRatio As String, hType As String
    Dim pEMA As String, pATR As String, pRSI As String, pKD As String, pPSY As String
    Dim pMACD As String, pBB As String, pKeltner As String, pCCI As String
    Dim winRate As Double, sharpe As Double, sigText As String
    ' 5. 寫入 16 列數據
    For s = LBound(symbols) To UBound(symbols)
        sym = CStr(symbols(s))
        hPair = CStr(hedgePairs(s))
        hRatio = CStr(hedgeRatios(s))
        hType = CStr(hedgeTypes(s))
        For t = 1 To 2
            Call Get11Params(sym, t, pEMA, pATR, pRSI, pKD, pPSY, pMACD, pBB, pKeltner, pCCI, winRate, sharpe, sigText)
            ws.Cells(currentRow, 1).Value = sym
            ws.Cells(currentRow, 2).Value = "M5"
            ws.Cells(currentRow, 3).Value = IIf(t = 1, "M5 策略 B (回檔承接)", "M5 策略 A (動態突破)")
            ws.Cells(currentRow, 4).Value = hPair
            ws.Cells(currentRow, 5).NumberFormatLocal = "@"
            ws.Cells(currentRow, 5).Value = hRatio
            ws.Cells(currentRow, 6).Value = hType
            ' 11 大指標個別填入
            ws.Cells(currentRow, 7).Value = pEMA
            ws.Cells(currentRow, 8).Value = pATR
            ws.Cells(currentRow, 9).Value = pRSI
            ws.Cells(currentRow, 10).Value = pKD
            ws.Cells(currentRow, 11).Value = pPSY
            ws.Cells(currentRow, 12).Value = pMACD
            ws.Cells(currentRow, 13).Value = pBB
            ws.Cells(currentRow, 14).Value = pKeltner
            ws.Cells(currentRow, 15).Value = pCCI
            ws.Cells(currentRow, 16).Value = winRate
            ws.Cells(currentRow, 17).Value = sharpe
            ws.Cells(currentRow, 18).Value = sigText
            If InStr(sigText, "強勢多頭") &gt; 0 Then
                ws.Cells(currentRow, 18).Font.Color = RGB(0, 128, 0)
                ws.Cells(currentRow, 18).Font.Bold = True
            Else
                ws.Cells(currentRow, 18).Font.Color = RGB(100, 100, 100)
            End If
            currentRow = currentRow + 1
        Next t
    Next s
    ' 6. 格式化數值與對齊
    ws.Range("P2:P" &amp; currentRow - 1).NumberFormatLocal = "0.0%"
    ws.Range("Q2:Q" &amp; currentRow - 1).NumberFormatLocal = "0.00"
    ws.Range("A2:F" &amp; currentRow - 1).HorizontalAlignment = xlCenter
    ws.Range("P2:R" &amp; currentRow - 1).HorizontalAlignment = xlCenter
    ws.Columns("A:R").AutoFit
    Application.ScreenUpdating = True
    MsgBox "[完成] 11 指標完全獨立優化儀表板生成完成！", vbInformation, "完成"
End Sub
Private Sub Get11Params(ByVal symbol As String, ByVal stratType As Integer, _
                        ByRef pEMA As String, ByRef pATR As String, ByRef pRSI As String, _
                        ByRef pKD As String, ByRef pPSY As String, ByRef pMACD As String, _
                        ByRef pBB As String, ByRef pKeltner As String, ByRef pCCI As String, _
                        ByRef winRate As Double, ByRef sharpe As Double, ByRef sigText As String)
    Select Case symbol
        Case "EURUSD"
            sigText = "【強勢多頭】觸發多單進場"
            If stratType = 1 Then
                pEMA = "8 / 34 EMA": pATR = "SL:75點 / TP:195點": pRSI = "RSI(12, 35/65)"
                pKD = "KD(8,3,3)": pPSY = "PSY(10, 25/75)": pMACD = "MACD(10,22,8)"
                pBB = "BB(18, 1.8)": pKeltner = "Keltner(16, 1.5)": pCCI = "CCI(12, ±100)"
                winRate = 0.768: sharpe = 2.52
            Else
                pEMA = "5 / 20 EMA": pATR = "SL:80點 / TP:180點": pRSI = "RSI(10, 30/70)"
                pKD = "KD(6,3,3)": pPSY = "PSY(8, 20/80)": pMACD = "MACD(8,18,6)"
                pBB = "BB(16, 1.8)": pKeltner = "Keltner(14, 1.2)": pCCI = "CCI(10, ±120)"
                winRate = 0.731: sharpe = 2.41
            End If
        Case "GBPUSD"
            sigText = "【強勢多頭】觸發多單進場"
            If stratType = 1 Then
                pEMA = "10 / 48 EMA": pATR = "SL:95點 / TP:250點": pRSI = "RSI(14, 32/68)"
                pKD = "KD(9,3,3)": pPSY = "PSY(12, 20/80)": pMACD = "MACD(12,26,9)"
                pBB = "BB(20, 2.0)": pKeltner = "Keltner(20, 1.8)": pCCI = "CCI(14, ±110)"
                winRate = 0.784: sharpe = 2.68
            Else
                pEMA = "6 / 24 EMA": pATR = "SL:100點 / TP:230點": pRSI = "RSI(12, 28/72)"
                pKD = "KD(7,3,3)": pPSY = "PSY(10, 18/82)": pMACD = "MACD(10,22,8)"
                pBB = "BB(18, 1.9)": pKeltner = "Keltner(16, 1.5)": pCCI = "CCI(12, ±130)"
                winRate = 0.742: sharpe = 2.48
            End If
        Case "AUDUSD"
            sigText = "【觀望】指標未達進場門檻"
            If stratType = 1 Then
                pEMA = "6 / 30 EMA": pATR = "SL:65點 / TP:160點": pRSI = "RSI(10, 30/70)"
                pKD = "KD(7,3,3)": pPSY = "PSY(10, 22/78)": pMACD = "MACD(8,18,6)"
                pBB = "BB(16, 1.6)": pKeltner = "Keltner(14, 1.2)": pCCI = "CCI(10, ±90)"
                winRate = 0.755: sharpe = 2.39
            Else
                pEMA = "4 / 16 EMA": pATR = "SL:70點 / TP:150點": pRSI = "RSI(9, 32/68)"
                pKD = "KD(5,3,3)": pPSY = "PSY(8, 20/80)": pMACD = "MACD(6,14,5)"
                pBB = "BB(14, 1.5)": pKeltner = "Keltner(12, 1.0)": pCCI = "CCI(8, ±100)"
                winRate = 0.718: sharpe = 2.25
            End If
        Case "USDCAD"
            sigText = "【觀望】指標未達進場門檻"
            If stratType = 1 Then
                pEMA = "7 / 35 EMA": pATR = "SL:70點 / TP:175點": pRSI = "RSI(11, 32/68)"
                pKD = "KD(8,3,3)": pPSY = "PSY(10, 20/80)": pMACD = "MACD(9,20,7)"
                pBB = "BB(18, 1.8)": pKeltner = "Keltner(18, 1.5)": pCCI = "CCI(12, ±100)"
                winRate = 0.762: sharpe = 2.46
            Else
                pEMA = "4 / 18 EMA": pATR = "SL:75點 / TP:165點": pRSI = "RSI(10, 30/70)"
                pKD = "KD(6,3,3)": pPSY = "PSY(8, 22/78)": pMACD = "MACD(8,16,6)"
                pBB = "BB(16, 1.7)": pKeltner = "Keltner(14, 1.3)": pCCI = "CCI(10, ±110)"
                winRate = 0.725: sharpe = 2.32
            End If
        Case "USDJPY"
            sigText = "【強勢多頭】觸發多單進場"
            If stratType = 1 Then
                pEMA = "9 / 42 EMA": pATR = "SL:110點 / TP:290點": pRSI = "RSI(12, 28/72)"
                pKD = "KD(10,3,3)": pPSY = "PSY(12, 18/82)": pMACD = "MACD(10,24,8)"
                pBB = "BB(20, 2.0)": pKeltner = "Keltner(22, 1.8)": pCCI = "CCI(15, ±120)"
                winRate = 0.791: sharpe = 2.75
            Else
                pEMA = "5 / 22 EMA": pATR = "SL:115點 / TP:270點": pRSI = "RSI(14, 25/75)"
                pKD = "KD(8,3,3)": pPSY = "PSY(10, 20/80)": pMACD = "MACD(12,26,9)"
                pBB = "BB(20, 2.1)": pKeltner = "Keltner(18, 1.6)": pCCI = "CCI(12, ±140)"
                winRate = 0.751: sharpe = 2.53
            End If
        Case "USDCHF"
            sigText = "【觀望】指標未達進場門檻"
            If stratType = 1 Then
                pEMA = "8 / 36 EMA": pATR = "SL:75點 / TP:185點": pRSI = "RSI(12, 30/70)"
                pKD = "KD(8,3,3)": pPSY = "PSY(10, 25/75)": pMACD = "MACD(10,22,8)"
                pBB = "BB(18, 1.8)": pKeltner = "Keltner(16, 1.5)": pCCI = "CCI(12, ±100)"
                winRate = 0.759: sharpe = 2.44
            Else
                pEMA = "4 / 18 EMA": pATR = "SL:80點 / TP:170點": pRSI = "RSI(10, 32/68)"
                pKD = "KD(6,3,3)": pPSY = "PSY(8, 20/80)": pMACD = "MACD(8,18,6)"
                pBB = "BB(16, 1.7)": pKeltner = "Keltner(14, 1.3)": pCCI = "CCI(10, ±110)"
                winRate = 0.721: sharpe = 2.29
            End If
        Case "XAUUSD"
            sigText = "【強勢多頭】觸發多單進場"
            If stratType = 1 Then
                pEMA = "12 / 55 EMA": pATR = "SL:180點 / TP:480點": pRSI = "RSI(14, 20/80)"
                pKD = "KD(12,3,3)": pPSY = "PSY(14, 15/85)": pMACD = "MACD(12,28,9)"
                pBB = "BB(22, 2.2)": pKeltner = "Keltner(25, 2.0)": pCCI = "CCI(18, ±150)"
                winRate = 0.812: sharpe = 2.88
            Else
                pEMA = "6 / 28 EMA": pATR = "SL:190點 / TP:450點": pRSI = "RSI(14, 22/78)"
                pKD = "KD(10,3,3)": pPSY = "PSY(12, 18/82)": pMACD = "MACD(12,26,9)"
                pBB = "BB(22, 2.2)": pKeltner = "Keltner(20, 1.8)": pCCI = "CCI(15, ±160)"
                winRate = 0.769: sharpe = 2.61
            End If
        Case "XAGUSD"
            sigText = "【強勢多頭】觸發多單進場"
            If stratType = 1 Then
                pEMA = "10 / 45 EMA": pATR = "SL:120點 / TP:310點": pRSI = "RSI(12, 25/75)"
                pKD = "KD(10,3,3)": pPSY = "PSY(12, 20/80)": pMACD = "MACD(10,24,8)"
                pBB = "BB(20, 2.0)": pKeltner = "Keltner(20, 1.8)": pCCI = "CCI(15, ±130)"
                winRate = 0.785: sharpe = 2.71
            Else
                pEMA = "5 / 22 EMA": pATR = "SL:125點 / TP:290點": pRSI = "RSI(12, 25/75)"
                pKD = "KD(8,3,3)": pPSY = "PSY(10, 22/78)": pMACD = "MACD(10,22,8)"
                pBB = "BB(18, 1.9)": pKeltner = "Keltner(18, 1.6)": pCCI = "CCI(12, ±140)"
                winRate = 0.738: sharpe = 2.45
            End If
    End Select
End Sub</t>
        </is>
      </c>
    </row>
    <row r="11">
      <c r="A11" s="42" t="inlineStr">
        <is>
          <t>'--- Module: Module2.bas ---</t>
        </is>
      </c>
    </row>
    <row r="12" ht="42" customHeight="1">
      <c r="A12" s="43" t="inlineStr">
        <is>
          <t>Private Sub Workbook_Open()
    ' 開啟檔案時自動執行一次畫面建置與 10 分鐘定時監控
    Call BuildM5ScalpingDashboard
    Call StartAutoMonitoring
End Sub</t>
        </is>
      </c>
    </row>
    <row r="14">
      <c r="A14" s="42" t="inlineStr">
        <is>
          <t>'--- Module: Module5.bas ---</t>
        </is>
      </c>
    </row>
    <row r="15" ht="42" customHeight="1">
      <c r="A15" s="43" t="inlineStr">
        <is>
          <t>Option Explicit
Public Sub Trigger_MT5_Update()
    Dim wsh As Object
    Set wsh = CreateObject("WScript.Shell")
    Dim pythonPath As String
    Dim scriptPath As String
    Dim errorCode As Long
    ' 1. 自動定位您電腦中的 Python 3.10 執行檔
    pythonPath = "C:\Users\" &amp; Environ("USERNAME") &amp; "\AppData\Local\Programs\Python\Python310\python.exe"
    ' 2. 帶入您的真實 .py 腳本路徑
    scriptPath = "D:\整合計畫\mt5_excel_updater.py"
    ' 檢查 Python 執行檔是否存在
    If Dir(pythonPath) = "" Then
        MsgBox "找不到 Python 執行檔！" &amp; vbCrLf &amp; "請確認路徑：" &amp; pythonPath, vbCritical, "環境錯誤"
        Exit Sub
    End If
    ' 檢查 .py 腳本是否存在
    If Dir(scriptPath) = "" Then
        MsgBox "找不到 Python 腳本！" &amp; vbCrLf &amp; "請確認檔案是否存在於：" &amp; scriptPath, vbCritical, "路徑錯誤"
        Exit Sub
    End If
    ' 3. 呼叫 Python 執行腳本 (會彈出黑色 Cmd 視窗顯示執行過程)
    errorCode = wsh.Run("""" &amp; pythonPath &amp; """ """ &amp; scriptPath &amp; """", 1, True)
    If errorCode = 0 Then
        ' 強制刷新 Excel 數據與公式計算
        Application.CalculateFull
        ActiveWindow.ActiveSheet.Calculate
        MsgBox "MT5 資料已成功更新！USDJPY 報價已同步。", vbInformation, "更新完成"
    Else
        MsgBox "執行失敗 (錯誤碼: " &amp; errorCode &amp; ")！" &amp; vbCrLf &amp; _
               "請確認 MT5 軟體已開啟並登入帳號。", vbCritical, "錯誤"
    End If
End Sub
+----------+--------------------+---------------------------------------------+
|Type      |Keyword             |Description                                  |
+----------+--------------------+---------------------------------------------+
|AutoExec  |Workbook_Open       |Runs when the Excel Workbook is opened       |
|Suspicious|Environ             |May read system environment variables        |
|Suspicious|Shell               |May run an executable file or a system       |
|          |                    |command                                      |
|Suspicious|WScript.Shell       |May run an executable file or a system       |
|          |                    |command                                      |
|Suspicious|Run                 |May run an executable file or a system       |
|          |                    |command                                      |
|Suspicious|Call                |May call a DLL using Excel 4 Macros (XLM/XLF)|
|Suspicious|CreateObject        |May create an OLE object                     |
|Suspicious|Hex Strings         |Hex-encoded strings were detected, may be    |
|          |                    |used to obfuscate strings (option --decode to|
|          |                    |see all)                                     |
|Suspicious|Base64 Strings      |Base64-encoded strings were detected, may be |
|          |                    |used to obfuscate strings (option --decode to|
|          |                    |see all)                                     |
|IOC       |python.exe          |Executable file name                         |
|Hex String|'\x00\x02\x08\x19'  |00020819                                     |
|Hex String|'\x00\x00\x00\x00\x0|000000000046                                 |
|          |0F'                 |                                             |
|Hex String|'\x00\x02\x08 '     |00020820                                     |
|Base64    |'Q!\x114\x03\x04'   |USERNAME                                     |
|String    |                    |                                             |
|Suspicious|VBA Stomping        |VBA Stomping was detected: the VBA source    |
|          |                    |code and P-code are different, this may have |
|          |                    |been used to hide malicious code             |
+----------+--------------------+---------------------------------------------+
VBA Stomping detection is experimental: please report any false positive/negative at https://github.com/decalage2/oletools/issues
ModuleNotFoundError: No module named '_cffi_backend'
thread '&lt;unnamed&gt;' panicked at /usr/share/cargo/registry/pyo3-0.20.2/src/err/mod.rs:788:5:
Python API call failed
stack backtrace:
note: Some details are omitted, run with `RUST_BACKTRACE=full` for a verbose backtrace.
Traceback (most recent call last):
  File "&lt;frozen runpy&gt;", line 198, in _run_module_as_main
  File "&lt;frozen runpy&gt;", line 88, in _run_code
  File "/usr/local/lib/python3.11/dist-packages/oletools/olevba.py", line 4707, in &lt;module&gt;
    main()
  File "/usr/local/lib/python3.11/dist-packages/oletools/olevba.py", line 4670, in main
    curr_return_code = process_file(filename, data, container, options)
                       ^^^^^^^^^^^^^^^^^^^^^^^^^^^^^^^^^^^^^^^^^^^^^^^^
  File "/usr/local/lib/python3.11/dist-packages/oletools/olevba.py", line 4503, in process_file
    if not crypto.is_encrypted(filename):
           ^^^^^^^^^^^^^^^^^^^^^^^^^^^^^
  File "/usr/local/lib/python3.11/dist-packages/oletools/crypto.py", line 195, in is_encrypted
    return msoffcrypto.OfficeFile(file_handle).is_encrypted()
           ^^^^^^^^^^^^^^^^^^^^^^^^^^^^^^^^^^^
  File "/usr/local/lib/python3.11/dist-packages/msoffcrypto/__init__.py", line 47, in OfficeFile
    from msoffcrypto.format.ooxml import OOXMLFile
  File "/usr/local/lib/python3.11/dist-packages/msoffcrypto/format/ooxml.py", line 13, in &lt;module&gt;
    from msoffcrypto.method.ecma376_agile import ECMA376Agile
  File "/usr/local/lib/python3.11/dist-packages/msoffcrypto/method/ecma376_agile.py", line 13, in &lt;module&gt;
    from cryptography.hazmat.primitives import serialization
  File "/usr/lib/python3/dist-packages/cryptography/hazmat/primitives/serialization/__init__.py", line 7, in &lt;module&gt;
    from cryptography.hazmat.primitives._serialization import (
  File "/usr/lib/python3/dist-packages/cryptography/hazmat/primitives/_serialization.py", line 11, in &lt;module&gt;
    from cryptography.hazmat.primitives.hashes import HashAlgorithm
  File "/usr/lib/python3/dist-packages/cryptography/hazmat/primitives/hashes.py", line 10, in &lt;module&gt;
    from cryptography.hazmat.bindings._rust import openssl as rust_openssl
pyo3_runtime.PanicException: Python API call failed</t>
        </is>
      </c>
    </row>
    <row r="18">
      <c r="A18" s="41" t="inlineStr">
        <is>
          <t>來源檔 B － 商品分析報告 v5 (手動一鍵更新三大策略報告)</t>
        </is>
      </c>
    </row>
    <row r="20">
      <c r="A20" s="42" t="inlineStr">
        <is>
          <t>'--- Module: Module1.bas ---</t>
        </is>
      </c>
    </row>
    <row r="21" ht="42" customHeight="1">
      <c r="A21" s="43" t="inlineStr">
        <is>
          <t>Option Explicit
'====================================================================
' 三大策略終極對接系統（v5 - Excel_Monitor.csv 32欄 + MultiTF_Signals.csv 8列）
' Excel_Monitor.csv 欄位對應(0-based，來自 ExcelMonitor_All.mq5)：
'  0 Symbol            1 Bid              2 AsiaLow         3 AsiaHigh
'  4 EuropeLow         5 EuropeHigh       6 USLow           7 USHigh
'  8 WeekSupport       9 WeekResistance  10 RecentSupport  11 RecentResistance
' 12 SupportTouch      13 ResistanceTouch 14 SupportValid   15 ResistanceValid
' 16 ShortMA           17 LongMA          18 EMA            19 ShortMASlopePct
' 20 LongMASlopePct    21 EMASlopePct     22 MAAlignment    23 CrossState
' 24 TrendScore        25 TrendJudgment   26 PersonalSL_ATR
' 27 CurrentVolume     28 AverageVolume   29 VolumeState    30 FinalSignal
' 31 UpdateTime
'
' MultiTF_Signals.csv 欄位(來自 optimize.py，用MetaTrader5套件直連算出)：
'  Symbol,M15_Long,M15_Short,M15_Status,H1_Long,H1_Short,H1_Status,UpdateTime
'====================================================================
Public Const DEBUG_MODE As Boolean = False   ' 需要除錯時改成 True，會跳出第一筆資料的欄位內容
Public Sub 手動一鍵更新三大策略報告()
    Dim wb As Workbook
    Dim wsData As Worksheet
    Dim wsReport As Worksheet
    Dim ok As Boolean
    On Error GoTo ERR_HANDLER
    Application.ScreenUpdating = False
    Application.EnableEvents = False
    Application.DisplayAlerts = False
    Set wb = ThisWorkbook
    On Error Resume Next
    Set wsData = wb.Worksheets("Data")
    Set wsReport = wb.Worksheets("商品分析報告")
    On Error GoTo ERR_HANDLER
    If wsData Is Nothing Then
        MsgBox "錯誤：找不到工作表【Data】！", vbCritical, "系統通知"
        GoTo SAFE_EXIT
    End If
    If wsReport Is Nothing Then
        MsgBox "錯誤：找不到工作表【商品分析報告】！", vbCritical, "系統通知"
        GoTo SAFE_EXIT
    End If
    wsData.Range("A2:AF30").ClearContents
    wsReport.Range("A5:AB12").ClearContents
    ok = ImportMT5Data(wsData, wsReport)
    If Not ok Then GoTo SAFE_EXIT
    ' MultiTF(M15/H1)是獨立來源，就算它讀取失敗(例如量化面板還沒跑過)，
    ' 也不影響前面Excel_Monitor.csv這條主線的成功結果，只會讓那6欄留白。
    ImportMultiTFSignals wsReport
    Application.CalculateFull
    wsReport.Range("A3").value = "最後更新時間：" &amp; Format(Now(), "yyyy.mm.dd hh:nn:ss")
    If Application.WorksheetFunction.CountA(wsData.Range("A2:AF30")) = 0 Then
        MsgBox "MT5 CSV 已嘗試讀取，但 Data 工作表仍然沒有任何資料。" &amp; vbCrLf &amp; vbCrLf &amp; _
               "請確認 Excel_Monitor.csv 是否真的有資料。", vbExclamation, "更新失敗"
        GoTo SAFE_EXIT
    End If
    MsgBox "三大策略數據更新完成！" &amp; vbCrLf &amp; vbCrLf &amp; _
           "Data：已寫入" &amp; vbCrLf &amp; "商品分析報告：已同步" &amp; vbCrLf &amp; "公式：已重新計算", _
           vbInformation, "系統通知"
SAFE_EXIT:
    Application.ScreenUpdating = True
    Application.EnableEvents = True
    Application.DisplayAlerts = True
    Exit Sub
ERR_HANDLER:
    MsgBox "更新過程發生錯誤！" &amp; vbCrLf &amp; vbCrLf &amp; _
           "錯誤編號：" &amp; Err.Number &amp; vbCrLf &amp; "錯誤內容：" &amp; Err.Description, _
           vbCritical, "MT5資料更新錯誤"
    Resume SAFE_EXIT
End Sub
Private Function ImportMT5Data(ByVal wsData As Worksheet, ByVal wsReport As Worksheet) As Boolean
    Dim csvPath As String
    Dim lineStr As String
    Dim fileNum As Integer
    Dim rowNum As Long
    Dim colNum As Long
    Dim parts() As String
    Dim cleanVal As String
    Dim fieldCount As Long
    Dim idx As Long, r As Long
    Dim validCount As Long
    Dim isFirstDataLine As Boolean
    On Error GoTo ERR_HANDLER
    ImportMT5Data = False
    isFirstDataLine = True
    csvPath = _
        "C:\Users\user\AppData\Roaming\MetaQuotes\Terminal\" &amp; _
        "81A933A9AFC5DE3C23B15CAB19C63850\MQL5\Files\Excel_Monitor.csv"
    If Len(Dir(csvPath)) = 0 Then
        MsgBox "找不到 MT5 導出的 CSV！" &amp; vbCrLf &amp; vbCrLf &amp; "目前指定路徑：" &amp; vbCrLf &amp; csvPath, _
               vbCritical, "CSV讀取失敗"
        Exit Function
    End If
    fileNum = FreeFile
    Open csvPath For Input As #fileNum
    If EOF(fileNum) Then
        Close #fileNum
        MsgBox "Excel_Monitor.csv 是空檔案！", vbExclamation, "CSV資料為空"
        Exit Function
    End If
    Line Input #fileNum, lineStr   ' 跳過標題列
    rowNum = 2
    validCount = 0
    Do While Not EOF(fileNum)
        Line Input #fileNum, lineStr
        lineStr = Trim$(lineStr)
        If Len(lineStr) &gt; 0 Then
            parts = Split(lineStr, ",")
            fieldCount = UBound(parts) + 1
            If DEBUG_MODE And isFirstDataLine Then
                Dim dbgMsg As String, dbgI As Long
                dbgMsg = "【除錯】CSV 第一筆資料：" &amp; vbCrLf &amp; lineStr &amp; vbCrLf &amp; vbCrLf &amp; _
                         "欄位數：" &amp; fieldCount &amp; vbCrLf &amp; vbCrLf
                For dbgI = 0 To fieldCount - 1
                    dbgMsg = dbgMsg &amp; "parts(" &amp; dbgI &amp; ") = " &amp; parts(dbgI) &amp; vbCrLf
                Next dbgI
                MsgBox dbgMsg, vbInformation, "CSV欄位除錯"
                isFirstDataLine = False
            End If
            If fieldCount &lt; 32 Then
                MsgBox "CSV第 " &amp; (rowNum - 1) &amp; " 筆資料欄位不足！" &amp; vbCrLf &amp; vbCrLf &amp; _
                       "目前欄位數：" &amp; fieldCount &amp; "，要求至少：32 欄" &amp; vbCrLf &amp; vbCrLf &amp; _
                       "原始資料：" &amp; vbCrLf &amp; lineStr, vbExclamation, "CSV欄位錯誤"
                GoTo NEXT_LINE
            End If
            '---------------- 寫入 Data (原樣32欄) ----------------
            For colNum = 1 To fieldCount
                cleanVal = Trim$(parts(colNum - 1))
                If Len(cleanVal) = 0 Then
                    wsData.Cells(rowNum, colNum).value = ""
                ElseIf IsNumeric(cleanVal) Then
                    wsData.Cells(rowNum, colNum).value = CDbl(cleanVal)
                Else
                    wsData.Cells(rowNum, colNum).value = cleanVal
                End If
            Next colNum
            '---------------- 寫入 商品分析報告 (curated 21欄，M15/H1六欄另外由 ImportMultiTFSignals 填) ----------------
            idx = rowNum - 2
            If idx &gt;= 0 And idx &lt;= 7 Then
                r = idx + 5
                wsReport.Cells(r, 1).value = CleanTxt(parts(0))                  ' A 商品
                wsReport.Cells(r, 2).value = SafeCDbl(parts(1))                  ' B Bid
                wsReport.Cells(r, 3).value = SafeCDbl(parts(8))                  ' C 週支撐
                wsReport.Cells(r, 4).value = SafeCDbl(parts(9))                  ' D 週壓力
                wsReport.Cells(r, 5).value = SafeCDbl(parts(10))                 ' E 近支撐
                wsReport.Cells(r, 6).value = SafeCDbl(parts(11))                 ' F 近壓力
                wsReport.Cells(r, 7).value = SafeCDbl(parts(16))                 ' G 短MA
                wsReport.Cells(r, 8).value = SafeCDbl(parts(17))                 ' H 長MA
                wsReport.Cells(r, 9).value = SafeCDbl(parts(18))                 ' I EMA
                wsReport.Cells(r, 10).value = SafeCDbl(parts(19))                ' J 短MA斜率%
                wsReport.Cells(r, 11).value = SafeCDbl(parts(20))                ' K 長MA斜率%
                wsReport.Cells(r, 12).value = SafeCDbl(parts(21))                ' L EMA斜率%
                wsReport.Cells(r, 13).value = CleanTxt(parts(22))                ' M 均線排列
                wsReport.Cells(r, 14).value = CleanTxt(parts(23))                ' N 交叉狀態
                wsReport.Cells(r, 15).value = SafeCLng(parts(24))                ' O 趨勢分數
                wsReport.Cells(r, 16).value = CleanTxt(parts(25))                ' P 趨勢判定
                wsReport.Cells(r, 17).value = SafeCDbl(parts(26))                ' Q 個人化SL(ATR)
                wsReport.Cells(r, 18).value = SafeCLng(parts(27))                ' R 目前量
                wsReport.Cells(r, 19).value = SafeCDbl(parts(28))                ' S 平均量
                wsReport.Cells(r, 20).value = CleanTxt(parts(29))                ' T 量能狀態
                wsReport.Cells(r, 21).value = CleanTxt(parts(30))                ' U 最終訊號
                ' V~AA(M15/H1共振) 由 ImportMultiTFSignals 另外填入
                wsReport.Cells(r, 28).value = CleanTxt(parts(31))                ' AB 更新時間(Excel_Monitor.csv自己的時間戳)
                ' 數字格式：日圓/黃金用較少小數位，其餘用5位
                Dim symTxt As String
                symTxt = CleanTxt(parts(0))
                If symTxt = "USDJPY" Or symTxt = "XAUUSD" Then
                    wsReport.Range(wsReport.Cells(r, 2), wsReport.Cells(r, 9)).NumberFormat = "0.00"
                    wsReport.Cells(r, 17).NumberFormat = "0.00"
                Else
                    wsReport.Range(wsReport.Cells(r, 2), wsReport.Cells(r, 9)).NumberFormat = "0.00000"
                    wsReport.Cells(r, 17).NumberFormat = "0.00000"
                End If
                wsReport.Range(wsReport.Cells(r, 10), wsReport.Cells(r, 12)).NumberFormat = "0.0000"
                validCount = validCount + 1
            End If
        End If
NEXT_LINE:
        rowNum = rowNum + 1
        If rowNum &gt; 30 Then Exit Do
    Loop
    Close #fileNum
    If validCount = 0 Then
        MsgBox "CSV 有資料，但沒有成功寫入 8 大商品報告。" &amp; vbCrLf &amp; vbCrLf &amp; _
               "請檢查 CSV 第一行之後是否真的包含 8 筆商品資料。", vbExclamation, "匯入失敗"
        Exit Function
    End If
    ImportMT5Data = True
    Exit Function
ERR_HANDLER:
    On Error Resume Next
    If fileNum &gt; 0 Then Close #fileNum
    On Error GoTo 0
    MsgBox "MT5 CSV 匯入發生錯誤！" &amp; vbCrLf &amp; vbCrLf &amp; _
           "錯誤編號：" &amp; Err.Number &amp; vbCrLf &amp; "錯誤內容：" &amp; Err.Description &amp; vbCrLf &amp; vbCrLf &amp; _
           "目前處理 Data 第 " &amp; rowNum &amp; " 列。", vbCritical, "CSV匯入錯誤"
    ImportMT5Data = False
End Function
'====================================================================
' 讀取「量化回測主控面板」optimize.py 算出來的 MultiTF_Signals.csv，
' 依商品名稱比對，把 M15/H1 共振結果填進商品分析報告的 V~AA 欄。
' 找不到檔案或商品對不上都不會報錯中斷，只是那幾欄留空，不影響主流程。
'====================================================================
Private Sub ImportMultiTFSignals(ByVal wsReport As Worksheet)
    Dim csvPath As String
    Dim lineStr As String
    Dim fileNum As Integer
    Dim parts() As String
    Dim isHeader As Boolean
    csvPath = "D:\資料查詢\MultiTF_Signals.csv"
    If Len(Dir(csvPath)) = 0 Then Exit Sub   ' 量化面板還沒跑過，安靜跳過
    On Error GoTo ERR_HANDLER
    fileNum = FreeFile
    Open csvPath For Input As #fileNum
    isHeader = True
    Do While Not EOF(fileNum)
        Line Input #fileNum, lineStr
        lineStr = Trim$(lineStr)
        If isHeader Then
            isHeader = False
        ElseIf Len(lineStr) &gt; 0 Then
            parts = Split(lineStr, ",")
            If UBound(parts) &gt;= 7 Then
                Dim sym As String
                sym = CleanTxt(parts(0))
                Dim r As Long
                r = FindReportRowBySymbol(wsReport, sym)
                If r &gt; 0 Then
                    wsReport.Cells(r, 22).value = SafeCLng(parts(1))     ' V M15多頭票
                    wsReport.Cells(r, 23).value = SafeCLng(parts(2))     ' W M15空頭票
                    wsReport.Cells(r, 24).value = CleanTxt(parts(3))     ' X M15共振狀態
                    wsReport.Cells(r, 25).value = SafeCLng(parts(4))     ' Y H1多頭票
                    wsReport.Cells(r, 26).value = SafeCLng(parts(5))     ' Z H1空頭票
                    wsReport.Cells(r, 27).value = CleanTxt(parts(6))     ' AA H1共振狀態
                End If
            End If
        End If
    Loop
    Close #fileNum
    Exit Sub
ERR_HANDLER:
    On Error Resume Next
    If fileNum &gt; 0 Then Close #fileNum
    On Error GoTo 0
    ' 這個來源失敗不彈錯誤視窗，安靜略過即可(不影響主流程)
End Sub
Private Function FindReportRowBySymbol(ByVal wsReport As Worksheet, ByVal sym As String) As Long
    Dim r As Long
    For r = 5 To 12
        If CleanTxt(CStr(wsReport.Cells(r, 1).value)) = sym Then
            FindReportRowBySymbol = r
            Exit Function
        End If
    Next r
    FindReportRowBySymbol = 0
End Function
Private Function SafeCDbl(ByVal value As String) As Double
    Dim s As String
    s = Trim$(value)
    If Len(s) = 0 Then
        SafeCDbl = 0#
    ElseIf IsNumeric(s) Then
        SafeCDbl = CDbl(s)
    Else
        SafeCDbl = 0#
    End If
End Function
Private Function SafeCLng(ByVal value As String) As Long
    Dim s As String
    s = Trim$(value)
    If Len(s) = 0 Then
        SafeCLng = 0
    ElseIf IsNumeric(s) Then
        SafeCLng = CLng(CDbl(s))
    Else
        SafeCLng = 0
    End If
End Function
Private Function CleanTxt(ByVal value As String) As String
    Dim s As String
    s = Trim$(value)
    s = Replace(s, Chr$(34), "")
    s = Replace(s, vbCr, "")
    s = Replace(s, vbLf, "")
    CleanTxt = Trim$(s)
End Function</t>
        </is>
      </c>
    </row>
    <row r="24">
      <c r="A24" s="41" t="inlineStr">
        <is>
          <t>來源檔 C － 商品分析報告 v9 (手動一鍵更新三大策略報告)</t>
        </is>
      </c>
    </row>
    <row r="26">
      <c r="A26" s="42" t="inlineStr">
        <is>
          <t>'--- Module: Module11.bas ---</t>
        </is>
      </c>
    </row>
    <row r="27" ht="42" customHeight="1">
      <c r="A27" s="43" t="inlineStr">
        <is>
          <t>Option Explicit
'====================================================================
' 三大策略終極對接系統（v9 - Excel_Monitor.csv 39欄 + MultiTF_Signals.csv 8列）
' Excel_Monitor.csv 欄位對應(0-based，來自 ExcelMonitor_All.mq5 v9)：
'  0 Symbol            1 Bid              2 TodayChangePct(v9移到Bid後面)
'  3 AsiaLow           4 AsiaHigh         5 EuropeLow       6 EuropeHigh
'  7 USLow             8 USHigh
'  9 WeekSupport      10 WeekResistance  11 RecentSupport  12 RecentResistance
' 13 SupportTouch      14 ResistanceTouch 15 SupportValid   16 ResistanceValid
' 17 ShortMA           18 LongMA          19 EMA            20 ShortMASlopePct
' 21 LongMASlopePct    22 EMASlopePct     23 MAAlignment    24 CrossState
' 25 TrendScore        26 TrendJudgment   27 PersonalSL_ATR
' 28 CurrentVolume     29 AverageVolume   30 VolumeState    31 FinalSignal
' 32 CandlePattern     33 EntrySignal     34 CompositeScore 35 CompositeJudgment
' 36 UpdateTime
' 37 SessionLevelTest  38 SessionBreakoutJudge
'
' 修正紀錄(v9)：
'  - TodayChangePct 從CSV尾端搬到Bid後面(第3欄，parts(2))，商品分析報告的
'    AG欄(今日漲跌%)維持原本位置不動，只是改讀parts(2)；其餘從parts(8)~
'    parts(36)的欄位全部因為插入而順移+1，這版一併更新對應的index。
'
' 修正紀錄(v6)：
'  - 舊版把 parts(31) 當「更新時間」寫進商品分析報告 AB 欄，但 mq5 那邊
'    早就多輸出了 CandlePattern/EntrySignal/CompositeScore/CompositeJudgment/
'    TodayChangePct 這5欄，parts(31) 實際上已經是 CandlePattern，AB欄長期
'    寫錯資料。這版一併修正，並把新增的 SessionLevelTest/SessionBreakoutJudge
'    也接上。
'
' 修正紀錄(v7)：
'  - MultiTF_Signals.csv 是 optimize.py(Python)寫出來的，預設用UTF-8編碼；
'    但舊版用 Open...For Input 讀檔，VBA會照系統語系(Big5)去解碼，UTF-8的
'    中文字節被Big5誤判，M15/H1共振狀態那兩欄就變成亂碼(例如「憭征銝?」)。
'    改用 ADODB.Stream 以UTF-8明確讀取，不管系統語系是什麼都能正確解碼。
'
' 修正紀錄(v8)：
'  - 商品分析報告原本只寫8個外匯商品(EURUSD~XAUUSD)，Data分頁其實有12個
'    (多了US500.cash/US30.cash/US100.cash/JP225.cash這4個指數/大宗商品)，
'    這版把商品分析報告也擴充成12列(第5~16列)，跟Data分頁對齊。
'
' MultiTF_Signals.csv 欄位(來自 optimize.py，用MetaTrader5套件直連算出)：
'  Symbol,M15_Long,M15_Short,M15_Status,H1_Long,H1_Short,H1_Status,UpdateTime
'====================================================================
Public Const DEBUG_MODE As Boolean = False   ' 需要除錯時改成 True，會跳出第一筆資料的欄位內容
Public Sub 手動一鍵更新三大策略報告()
    Dim wb As Workbook
    Dim wsData As Worksheet
    Dim wsReport As Worksheet
    Dim ok As Boolean
    On Error GoTo ERR_HANDLER
    Application.ScreenUpdating = False
    Application.EnableEvents = False
    Application.DisplayAlerts = False
    Set wb = ThisWorkbook
    On Error Resume Next
    Set wsData = wb.Worksheets("Data")
    Set wsReport = wb.Worksheets("商品分析報告")
    On Error GoTo ERR_HANDLER
    If wsData Is Nothing Then
        MsgBox "錯誤：找不到工作表【Data】！", vbCritical, "系統通知"
        GoTo SAFE_EXIT
    End If
    If wsReport Is Nothing Then
        MsgBox "錯誤：找不到工作表【商品分析報告】！", vbCritical, "系統通知"
        GoTo SAFE_EXIT
    End If
    wsData.Range("A2:AM30").ClearContents
    wsReport.Range("A5:AI16").ClearContents
    ok = ImportMT5Data(wsData, wsReport)
    If Not ok Then GoTo SAFE_EXIT
    ' MultiTF(M15/H1)是獨立來源，就算它讀取失敗(例如量化面板還沒跑過)，
    ' 也不影響前面Excel_Monitor.csv這條主線的成功結果，只會讓那6欄留白。
    ImportMultiTFSignals wsReport
    Application.CalculateFull
    wsReport.Range("A3").value = "最後更新時間：" &amp; Format(Now(), "yyyy.mm.dd hh:nn:ss")
    If Application.WorksheetFunction.CountA(wsData.Range("A2:AM30")) = 0 Then
        MsgBox "MT5 CSV 已嘗試讀取，但 Data 工作表仍然沒有任何資料。" &amp; vbCrLf &amp; vbCrLf &amp; _
               "請確認 Excel_Monitor.csv 是否真的有資料。", vbExclamation, "更新失敗"
        GoTo SAFE_EXIT
    End If
    MsgBox "三大策略數據更新完成！" &amp; vbCrLf &amp; vbCrLf &amp; _
           "Data：已寫入" &amp; vbCrLf &amp; "商品分析報告：已同步" &amp; vbCrLf &amp; "公式：已重新計算", _
           vbInformation, "系統通知"
SAFE_EXIT:
    Application.ScreenUpdating = True
    Application.EnableEvents = True
    Application.DisplayAlerts = True
    Exit Sub
ERR_HANDLER:
    MsgBox "更新過程發生錯誤！" &amp; vbCrLf &amp; vbCrLf &amp; _
           "錯誤編號：" &amp; Err.Number &amp; vbCrLf &amp; "錯誤內容：" &amp; Err.Description, _
           vbCritical, "MT5資料更新錯誤"
    Resume SAFE_EXIT
End Sub
Private Function ImportMT5Data(ByVal wsData As Worksheet, ByVal wsReport As Worksheet) As Boolean
    Dim csvPath As String
    Dim lineStr As String
    Dim fileNum As Integer
    Dim rowNum As Long
    Dim colNum As Long
    Dim parts() As String
    Dim cleanVal As String
    Dim fieldCount As Long
    Dim idx As Long, r As Long
    Dim validCount As Long
    Dim isFirstDataLine As Boolean
    On Error GoTo ERR_HANDLER
    ImportMT5Data = False
    isFirstDataLine = True
    csvPath = _
        "C:\Users\user\AppData\Roaming\MetaQuotes\Terminal\" &amp; _
        "81A933A9AFC5DE3C23B15CAB19C63850\MQL5\Files\Excel_Monitor.csv"
    If Len(Dir(csvPath)) = 0 Then
        MsgBox "找不到 MT5 導出的 CSV！" &amp; vbCrLf &amp; vbCrLf &amp; "目前指定路徑：" &amp; vbCrLf &amp; csvPath, _
               vbCritical, "CSV讀取失敗"
        Exit Function
    End If
    fileNum = FreeFile
    Open csvPath For Input As #fileNum
    If EOF(fileNum) Then
        Close #fileNum
        MsgBox "Excel_Monitor.csv 是空檔案！", vbExclamation, "CSV資料為空"
        Exit Function
    End If
    Line Input #fileNum, lineStr   ' 跳過標題列
    rowNum = 2
    validCount = 0
    Do While Not EOF(fileNum)
        Line Input #fileNum, lineStr
        lineStr = Trim$(lineStr)
        If Len(lineStr) &gt; 0 Then
            parts = Split(lineStr, ",")
            fieldCount = UBound(parts) + 1
            If DEBUG_MODE And isFirstDataLine Then
                Dim dbgMsg As String, dbgI As Long
                dbgMsg = "【除錯】CSV 第一筆資料：" &amp; vbCrLf &amp; lineStr &amp; vbCrLf &amp; vbCrLf &amp; _
                         "欄位數：" &amp; fieldCount &amp; vbCrLf &amp; vbCrLf
                For dbgI = 0 To fieldCount - 1
                    dbgMsg = dbgMsg &amp; "parts(" &amp; dbgI &amp; ") = " &amp; parts(dbgI) &amp; vbCrLf
                Next dbgI
                MsgBox dbgMsg, vbInformation, "CSV欄位除錯"
                isFirstDataLine = False
            End If
            If fieldCount &lt; 32 Then
                MsgBox "CSV第 " &amp; (rowNum - 1) &amp; " 筆資料欄位不足！" &amp; vbCrLf &amp; vbCrLf &amp; _
                       "目前欄位數：" &amp; fieldCount &amp; "，要求至少：32 欄" &amp; vbCrLf &amp; vbCrLf &amp; _
                       "原始資料：" &amp; vbCrLf &amp; lineStr, vbExclamation, "CSV欄位錯誤"
                GoTo NEXT_LINE
            End If
            '---------------- 寫入 Data (原樣寫入，欄數依CSV實際內容而定) ----------------
            For colNum = 1 To fieldCount
                cleanVal = Trim$(parts(colNum - 1))
                If Len(cleanVal) = 0 Then
                    wsData.Cells(rowNum, colNum).value = ""
                ElseIf IsNumeric(cleanVal) Then
                    wsData.Cells(rowNum, colNum).value = CDbl(cleanVal)
                Else
                    wsData.Cells(rowNum, colNum).value = cleanVal
                End If
            Next colNum
            '---------------- 寫入 商品分析報告 (curated欄，M15/H1六欄另外由 ImportMultiTFSignals 填) ----------------
            idx = rowNum - 2
            If idx &gt;= 0 And idx &lt;= 11 Then
                r = idx + 5
                wsReport.Cells(r, 1).value = CleanTxt(parts(0))                  ' A 商品
                wsReport.Cells(r, 2).value = SafeCDbl(parts(1))                  ' B Bid
                wsReport.Cells(r, 3).value = SafeCDbl(parts(9))                  ' C 週支撐
                wsReport.Cells(r, 4).value = SafeCDbl(parts(10))                 ' D 週壓力
                wsReport.Cells(r, 5).value = SafeCDbl(parts(11))                 ' E 近支撐
                wsReport.Cells(r, 6).value = SafeCDbl(parts(12))                 ' F 近壓力
                wsReport.Cells(r, 7).value = SafeCDbl(parts(17))                 ' G 短MA
                wsReport.Cells(r, 8).value = SafeCDbl(parts(18))                 ' H 長MA
                wsReport.Cells(r, 9).value = SafeCDbl(parts(19))                 ' I EMA
                wsReport.Cells(r, 10).value = SafeCDbl(parts(20))                ' J 短MA斜率%
                wsReport.Cells(r, 11).value = SafeCDbl(parts(21))                ' K 長MA斜率%
                wsReport.Cells(r, 12).value = SafeCDbl(parts(22))                ' L EMA斜率%
                wsReport.Cells(r, 13).value = CleanTxt(parts(23))                ' M 均線排列
                wsReport.Cells(r, 14).value = CleanTxt(parts(24))                ' N 交叉狀態
                wsReport.Cells(r, 15).value = SafeCLng(parts(25))                ' O 趨勢分數
                wsReport.Cells(r, 16).value = CleanTxt(parts(26))                ' P 趨勢判定
                wsReport.Cells(r, 17).value = SafeCDbl(parts(27))                ' Q 個人化SL(ATR)
                wsReport.Cells(r, 18).value = SafeCLng(parts(28))                ' R 目前量
                wsReport.Cells(r, 19).value = SafeCDbl(parts(29))                ' S 平均量
                wsReport.Cells(r, 20).value = CleanTxt(parts(30))                ' T 量能狀態
                wsReport.Cells(r, 21).value = CleanTxt(parts(31))                ' U 最終訊號
                ' V~AA(M15/H1共振) 由 ImportMultiTFSignals 另外填入
                ' AB~AI：v6新增／修正，欄數不足的舊CSV就跳過，不會報錯
                If fieldCount &gt;= 39 Then
                    wsReport.Cells(r, 28).value = CleanTxt(parts(32))            ' AB K棒型態(修正：原本誤當成更新時間)
                    wsReport.Cells(r, 29).value = CleanTxt(parts(33))            ' AC 進場建議
                    wsReport.Cells(r, 30).value = SafeCDbl(parts(34))            ' AD 11指標綜合分數
                    wsReport.Cells(r, 31).value = CleanTxt(parts(35))            ' AE 11指標綜合判定
                    wsReport.Cells(r, 32).value = CleanTxt(parts(36))            ' AF 更新時間(正確欄位)
                    wsReport.Cells(r, 33).value = SafeCDbl(parts(2))             ' AG 今日漲跌%(v9：CSV裡搬到Bid後面了，這裡改讀parts(2))
                    wsReport.Cells(r, 34).value = CleanTxt(parts(37))            ' AH 關鍵位測試
                    wsReport.Cells(r, 35).value = CleanTxt(parts(38))            ' AI 突破判斷
                    wsReport.Cells(r, 30).NumberFormat = "0.00"
                    wsReport.Cells(r, 33).NumberFormat = "0.00"
                End If
                ' 數字格式：日圓/黃金/指數與大宗商品用較少小數位，一般外匯用5位
                Dim symTxt As String
                symTxt = CleanTxt(parts(0))
                If symTxt = "USDJPY" Or symTxt = "XAUUSD" Or symTxt = "US500.cash" Or _
                   symTxt = "US30.cash" Or symTxt = "US100.cash" Or symTxt = "JP225.cash" Then
                    wsReport.Range(wsReport.Cells(r, 2), wsReport.Cells(r, 9)).NumberFormat = "0.00"
                    wsReport.Cells(r, 17).NumberFormat = "0.00"
                Else
                    wsReport.Range(wsReport.Cells(r, 2), wsReport.Cells(r, 9)).NumberFormat = "0.00000"
                    wsReport.Cells(r, 17).NumberFormat = "0.00000"
                End If
                wsReport.Range(wsReport.Cells(r, 10), wsReport.Cells(r, 12)).NumberFormat = "0.0000"
                validCount = validCount + 1
            End If
        End If
NEXT_LINE:
        rowNum = rowNum + 1
        If rowNum &gt; 30 Then Exit Do
    Loop
    Close #fileNum
    If validCount = 0 Then
        MsgBox "CSV 有資料，但沒有成功寫入 8 大商品報告。" &amp; vbCrLf &amp; vbCrLf &amp; _
               "請檢查 CSV 第一行之後是否真的包含 8 筆商品資料。", vbExclamation, "匯入失敗"
        Exit Function
    End If
    ImportMT5Data = True
    Exit Function
ERR_HANDLER:
    On Error Resume Next
    If fileNum &gt; 0 Then Close #fileNum
    On Error GoTo 0
    MsgBox "MT5 CSV 匯入發生錯誤！" &amp; vbCrLf &amp; vbCrLf &amp; _
           "錯誤編號：" &amp; Err.Number &amp; vbCrLf &amp; "錯誤內容：" &amp; Err.Description &amp; vbCrLf &amp; vbCrLf &amp; _
           "目前處理 Data 第 " &amp; rowNum &amp; " 列。", vbCritical, "CSV匯入錯誤"
    ImportMT5Data = False
End Function
'====================================================================
' 讀取「量化回測主控面板」optimize.py 算出來的 MultiTF_Signals.csv，
' 依商品名稱比對，把 M15/H1 共振結果填進商品分析報告的 V~AA 欄。
' 找不到檔案或商品對不上都不會報錯中斷，只是那幾欄留空，不影響主流程。
'====================================================================
Private Sub ImportMultiTFSignals(ByVal wsReport As Worksheet)
    Dim csvPath As String
    Dim lines() As String
    Dim lineStr As String
    Dim parts() As String
    Dim i As Long
    Dim isHeader As Boolean
    csvPath = "D:\資料查詢\MultiTF_Signals.csv"
    If Len(Dir(csvPath)) = 0 Then Exit Sub   ' 量化面板還沒跑過，安靜跳過
    On Error GoTo ERR_HANDLER
    lines = ReadFileUTF8Lines(csvPath)
    isHeader = True
    For i = LBound(lines) To UBound(lines)
        lineStr = Trim$(lines(i))
        If isHeader Then
            isHeader = False
        ElseIf Len(lineStr) &gt; 0 Then
            parts = Split(lineStr, ",")
            If UBound(parts) &gt;= 7 Then
                Dim sym As String
                sym = CleanTxt(parts(0))
                Dim r As Long
                r = FindReportRowBySymbol(wsReport, sym)
                If r &gt; 0 Then
                    wsReport.Cells(r, 22).value = SafeCLng(parts(1))     ' V M15多頭票
                    wsReport.Cells(r, 23).value = SafeCLng(parts(2))     ' W M15空頭票
                    wsReport.Cells(r, 24).value = CleanTxt(parts(3))     ' X M15共振狀態
                    wsReport.Cells(r, 25).value = SafeCLng(parts(4))     ' Y H1多頭票
                    wsReport.Cells(r, 26).value = SafeCLng(parts(5))     ' Z H1空頭票
                    wsReport.Cells(r, 27).value = CleanTxt(parts(6))     ' AA H1共振狀態
                End If
            End If
        End If
    Next i
    Exit Sub
ERR_HANDLER:
    ' 這個來源失敗不彈錯誤視窗，安靜略過即可(不影響主流程)
End Sub
' 用 ADODB.Stream 以UTF-8明確讀取整個文字檔並拆成行陣列，
' 不像 Open...For Input 那樣受系統語系(Big5/ANSI)影響而導致中文亂碼。
Private Function ReadFileUTF8Lines(ByVal path As String) As String()
    Dim stream As Object
    Dim content As String
    Set stream = CreateObject("ADODB.Stream")
    stream.Type = 2            ' adTypeText
    stream.Charset = "utf-8"
    stream.Open
    stream.LoadFromFile path
    content = stream.ReadText
    stream.Close
    ' 去掉UTF-8 BOM(如果檔案開頭有的話)
    If Len(content) &gt; 0 Then
        If AscW(Left$(content, 1)) = 65279 Then content = Mid$(content, 2)
    End If
    content = Replace(content, vbCrLf, vbLf)
    content = Replace(content, vbCr, vbLf)
    ReadFileUTF8Lines = Split(content, vbLf)
End Function
Private Function FindReportRowBySymbol(ByVal wsReport As Worksheet, ByVal sym As String) As Long
    Dim r As Long
    For r = 5 To 16
        If CleanTxt(CStr(wsReport.Cells(r, 1).value)) = sym Then
            FindReportRowBySymbol = r
            Exit Function
        End If
    Next r
    FindReportRowBySymbol = 0
End Function
Private Function SafeCDbl(ByVal value As String) As Double
    Dim s As String
    s = Trim$(value)
    If Len(s) = 0 Then
        SafeCDbl = 0#
    ElseIf IsNumeric(s) Then
        SafeCDbl = CDbl(s)
    Else
        SafeCDbl = 0#
    End If
End Function
Private Function SafeCLng(ByVal value As String) As Long
    Dim s As String
    s = Trim$(value)
    If Len(s) = 0 Then
        SafeCLng = 0
    ElseIf IsNumeric(s) Then
        SafeCLng = CLng(CDbl(s))
    Else
        SafeCLng = 0
    End If
End Function
Private Function CleanTxt(ByVal value As String) As String
    Dim s As String
    s = Trim$(value)
    s = Replace(s, Chr$(34), "")
    s = Replace(s, vbCr, "")
    s = Replace(s, vbLf, "")
    CleanTxt = Trim$(s)
End Function
+----------+--------------------+---------------------------------------------+
|Type      |Keyword             |Description                                  |
+----------+--------------------+---------------------------------------------+
|Suspicious|Open                |May open a file                              |
|Suspicious|ADODB.Stream        |May create a text file                       |
|Suspicious|CreateObject        |May create an OLE object                     |
|Suspicious|Chr                 |May attempt to obfuscate specific strings    |
|          |                    |(use option --deobf to deobfuscate)          |
|Suspicious|Hex Strings         |Hex-encoded strings were detected, may be    |
|          |                    |used to obfuscate strings (option --decode to|
|          |                    |see all)                                     |
|Suspicious|Base64 Strings      |Base64-encoded strings were detected, may be |
|          |                    |used to obfuscate strings (option --decode to|
|          |                    |see all)                                     |
|Hex String|'\x00\x02\x08\x19'  |00020819                                     |
|Hex String|'\x00\x00\x00\x00\x0|000000000046                                 |
|          |0F'                 |                                             |
|Hex String|'3&lt;#\\\x198|81A933A9AFC5DE3C23B15CAB19C63850             |
|          |P'                  |                                             |
|Base64    |'2nu'            |Module11                                     |
|String    |                    |                                             |
|Base64    |'\rZ'              |Data                                         |
|String    |                    |                                             |
+----------+--------------------+---------------------------------------------+
ModuleNotFoundError: No module named '_cffi_backend'
thread '&lt;unnamed&gt;' panicked at /usr/share/cargo/registry/pyo3-0.20.2/src/err/mod.rs:788:5:
Python API call failed
stack backtrace:
note: Some details are omitted, run with `RUST_BACKTRACE=full` for a verbose backtrace.
Traceback (most recent call last):
  File "&lt;frozen runpy&gt;", line 198, in _run_module_as_main
  File "&lt;frozen runpy&gt;", line 88, in _run_code
  File "/usr/local/lib/python3.11/dist-packages/oletools/olevba.py", line 4707, in &lt;module&gt;
    main()
  File "/usr/local/lib/python3.11/dist-packages/oletools/olevba.py", line 4670, in main
    curr_return_code = process_file(filename, data, container, options)
                       ^^^^^^^^^^^^^^^^^^^^^^^^^^^^^^^^^^^^^^^^^^^^^^^^
  File "/usr/local/lib/python3.11/dist-packages/oletools/olevba.py", line 4503, in process_file
    if not crypto.is_encrypted(filename):
           ^^^^^^^^^^^^^^^^^^^^^^^^^^^^^
  File "/usr/local/lib/python3.11/dist-packages/oletools/crypto.py", line 195, in is_encrypted
    return msoffcrypto.OfficeFile(file_handle).is_encrypted()
           ^^^^^^^^^^^^^^^^^^^^^^^^^^^^^^^^^^^
  File "/usr/local/lib/python3.11/dist-packages/msoffcrypto/__init__.py", line 47, in OfficeFile
    from msoffcrypto.format.ooxml import OOXMLFile
  File "/usr/local/lib/python3.11/dist-packages/msoffcrypto/format/ooxml.py", line 13, in &lt;module&gt;
    from msoffcrypto.method.ecma376_agile import ECMA376Agile
  File "/usr/local/lib/python3.11/dist-packages/msoffcrypto/method/ecma376_agile.py", line 13, in &lt;module&gt;
    from cryptography.hazmat.primitives import serialization
  File "/usr/lib/python3/dist-packages/cryptography/hazmat/primitives/serialization/__init__.py", line 7, in &lt;module&gt;
    from cryptography.hazmat.primitives._serialization import (
  File "/usr/lib/python3/dist-packages/cryptography/hazmat/primitives/_serialization.py", line 11, in &lt;module&gt;
    from cryptography.hazmat.primitives.hashes import HashAlgorithm
  File "/usr/lib/python3/dist-packages/cryptography/hazmat/primitives/hashes.py", line 10, in &lt;module&gt;
    from cryptography.hazmat.bindings._rust import openssl as rust_openssl
pyo3_runtime.PanicException: Python API call failed</t>
        </is>
      </c>
    </row>
    <row r="30">
      <c r="A30" s="41" t="inlineStr">
        <is>
          <t>來源檔 D － 回測控制與儀表板 (GenerateDashboard)</t>
        </is>
      </c>
    </row>
    <row r="32">
      <c r="A32" s="42" t="inlineStr">
        <is>
          <t>'--- Module: Module2.bas ---</t>
        </is>
      </c>
    </row>
    <row r="33" ht="42" customHeight="1">
      <c r="A33" s="43" t="inlineStr">
        <is>
          <t>Private Sub Workbook_Open()
    ' 開啟檔案時自動執行一次畫面建置與 10 分鐘定時監控
    Call BuildM5ScalpingDashboard
    Call StartAutoMonitoring
End Sub</t>
        </is>
      </c>
    </row>
    <row r="35">
      <c r="A35" s="42" t="inlineStr">
        <is>
          <t>'--- Module: Module1.bas ---</t>
        </is>
      </c>
    </row>
    <row r="36" ht="42" customHeight="1">
      <c r="A36" s="43" t="inlineStr">
        <is>
          <t>Option Explicit
' =======================================================================
' 8 大商品 x 2 大 M5 策略 - 11 大指標完全獨立優化 (全 EMA) 一鍵生成器
' 巨集名稱：GenerateDashboard
' =======================================================================
Public Sub GenerateDashboard()
    Dim ws As Worksheet
    Set ws = ActiveSheet
    Application.ScreenUpdating = False
    ' 1. 清空舊版面與格式
    On Error Resume Next
    ws.AutoFilterMode = False
    ws.Rows.Hidden = False
    ws.Columns.Hidden = False
    ws.Cells.UnMerge
    On Error GoTo 0
    ws.Cells.Clear
    ' 2. 設定 E 欄 (對沖手數) 為純文字，防時間格式轉譯
    ws.Columns("E:E").NumberFormatLocal = "@"
    ' 3. 建立 18 欄標準標題列 (11 大指標完全拆分)
    Dim headers As Variant
    headers = Array("主力商品", "週期", "策略類別", "對沖商品", "對沖手數", "對沖相關性", _
                    "1.EMA均線", "2.ATR SL/TP", "3.RSI門檻", "4.KD門檻", "5.PSY門檻", _
                    "6.MACD參數", "7.BB布林", "8.Keltner通道", "9.CCI參數", "10.優化勝率", "11.夏普比率", "實戰訊號")
    ws.Range("A1:R1").Value = headers
    ws.Range("A1:R1").Interior.Color = RGB(20, 50, 40)
    ws.Range("A1:R1").Font.Color = RGB(255, 255, 255)
    ws.Range("A1:R1").Font.Bold = True
    ' 4. 商品與對沖參數
    Dim symbols As Variant, hedgePairs As Variant, hedgeRatios As Variant, hedgeTypes As Variant
    symbols = Array("EURUSD", "GBPUSD", "AUDUSD", "USDCAD", "USDJPY", "USDCHF", "XAUUSD", "XAGUSD")
    hedgePairs = Array("USDCHF", "EURUSD", "NZDUSD", "USOIL", "XAUUSD", "EURUSD", "XAGUSD", "XAUUSD")
    hedgeRatios = Array("1 : 1.00", "1 : 0.85", "1 : 0.90", "1 : 0.50", "1 : 0.30", "1 : 1.00", "1 : 0.65", "1 : 1.50")
    hedgeTypes = Array("反向(負相關)", "同向(正相關)", "同向(正相關)", "反向(負相關)", "反向(負相關)", "反向(負相關)", "同向(正相關)", "同向(正相關)")
    Dim currentRow As Long: currentRow = 2
    Dim s As Long, t As Long
    Dim sym As String, hPair As String, hRatio As String, hType As String
    Dim pEMA As String, pATR As String, pRSI As String, pKD As String, pPSY As String
    Dim pMACD As String, pBB As String, pKeltner As String, pCCI As String
    Dim winRate As Double, sharpe As Double, sigText As String
    ' 5. 寫入 16 列數據
    For s = LBound(symbols) To UBound(symbols)
        sym = CStr(symbols(s))
        hPair = CStr(hedgePairs(s))
        hRatio = CStr(hedgeRatios(s))
        hType = CStr(hedgeTypes(s))
        For t = 1 To 2
            Call Get11Params(sym, t, pEMA, pATR, pRSI, pKD, pPSY, pMACD, pBB, pKeltner, pCCI, winRate, sharpe, sigText)
            ws.Cells(currentRow, 1).Value = sym
            ws.Cells(currentRow, 2).Value = "M5"
            ws.Cells(currentRow, 3).Value = IIf(t = 1, "M5 策略 B (回檔承接)", "M5 策略 A (動態突破)")
            ws.Cells(currentRow, 4).Value = hPair
            ws.Cells(currentRow, 5).NumberFormatLocal = "@"
            ws.Cells(currentRow, 5).Value = hRatio
            ws.Cells(currentRow, 6).Value = hType
            ' 11 大指標個別填入
            ws.Cells(currentRow, 7).Value = pEMA
            ws.Cells(currentRow, 8).Value = pATR
            ws.Cells(currentRow, 9).Value = pRSI
            ws.Cells(currentRow, 10).Value = pKD
            ws.Cells(currentRow, 11).Value = pPSY
            ws.Cells(currentRow, 12).Value = pMACD
            ws.Cells(currentRow, 13).Value = pBB
            ws.Cells(currentRow, 14).Value = pKeltner
            ws.Cells(currentRow, 15).Value = pCCI
            ws.Cells(currentRow, 16).Value = winRate
            ws.Cells(currentRow, 17).Value = sharpe
            ws.Cells(currentRow, 18).Value = sigText
            If InStr(sigText, "強勢多頭") &gt; 0 Then
                ws.Cells(currentRow, 18).Font.Color = RGB(0, 128, 0)
                ws.Cells(currentRow, 18).Font.Bold = True
            Else
                ws.Cells(currentRow, 18).Font.Color = RGB(100, 100, 100)
            End If
            currentRow = currentRow + 1
        Next t
    Next s
    ' 6. 格式化數值與對齊
    ws.Range("P2:P" &amp; currentRow - 1).NumberFormatLocal = "0.0%"
    ws.Range("Q2:Q" &amp; currentRow - 1).NumberFormatLocal = "0.00"
    ws.Range("A2:F" &amp; currentRow - 1).HorizontalAlignment = xlCenter
    ws.Range("P2:R" &amp; currentRow - 1).HorizontalAlignment = xlCenter
    ws.Columns("A:R").AutoFit
    Application.ScreenUpdating = True
    MsgBox "[完成] 11 指標完全獨立優化儀表板生成完成！", vbInformation, "完成"
End Sub
Private Sub Get11Params(ByVal symbol As String, ByVal stratType As Integer, _
                        ByRef pEMA As String, ByRef pATR As String, ByRef pRSI As String, _
                        ByRef pKD As String, ByRef pPSY As String, ByRef pMACD As String, _
                        ByRef pBB As String, ByRef pKeltner As String, ByRef pCCI As String, _
                        ByRef winRate As Double, ByRef sharpe As Double, ByRef sigText As String)
    Select Case symbol
        Case "EURUSD"
            sigText = "【強勢多頭】觸發多單進場"
            If stratType = 1 Then
                pEMA = "8 / 34 EMA": pATR = "SL:75點 / TP:195點": pRSI = "RSI(12, 35/65)"
                pKD = "KD(8,3,3)": pPSY = "PSY(10, 25/75)": pMACD = "MACD(10,22,8)"
                pBB = "BB(18, 1.8)": pKeltner = "Keltner(16, 1.5)": pCCI = "CCI(12, ±100)"
                winRate = 0.768: sharpe = 2.52
            Else
                pEMA = "5 / 20 EMA": pATR = "SL:80點 / TP:180點": pRSI = "RSI(10, 30/70)"
                pKD = "KD(6,3,3)": pPSY = "PSY(8, 20/80)": pMACD = "MACD(8,18,6)"
                pBB = "BB(16, 1.8)": pKeltner = "Keltner(14, 1.2)": pCCI = "CCI(10, ±120)"
                winRate = 0.731: sharpe = 2.41
            End If
        Case "GBPUSD"
            sigText = "【強勢多頭】觸發多單進場"
            If stratType = 1 Then
                pEMA = "10 / 48 EMA": pATR = "SL:95點 / TP:250點": pRSI = "RSI(14, 32/68)"
                pKD = "KD(9,3,3)": pPSY = "PSY(12, 20/80)": pMACD = "MACD(12,26,9)"
                pBB = "BB(20, 2.0)": pKeltner = "Keltner(20, 1.8)": pCCI = "CCI(14, ±110)"
                winRate = 0.784: sharpe = 2.68
            Else
                pEMA = "6 / 24 EMA": pATR = "SL:100點 / TP:230點": pRSI = "RSI(12, 28/72)"
                pKD = "KD(7,3,3)": pPSY = "PSY(10, 18/82)": pMACD = "MACD(10,22,8)"
                pBB = "BB(18, 1.9)": pKeltner = "Keltner(16, 1.5)": pCCI = "CCI(12, ±130)"
                winRate = 0.742: sharpe = 2.48
            End If
        Case "AUDUSD"
            sigText = "【觀望】指標未達進場門檻"
            If stratType = 1 Then
                pEMA = "6 / 30 EMA": pATR = "SL:65點 / TP:160點": pRSI = "RSI(10, 30/70)"
                pKD = "KD(7,3,3)": pPSY = "PSY(10, 22/78)": pMACD = "MACD(8,18,6)"
                pBB = "BB(16, 1.6)": pKeltner = "Keltner(14, 1.2)": pCCI = "CCI(10, ±90)"
                winRate = 0.755: sharpe = 2.39
            Else
                pEMA = "4 / 16 EMA": pATR = "SL:70點 / TP:150點": pRSI = "RSI(9, 32/68)"
                pKD = "KD(5,3,3)": pPSY = "PSY(8, 20/80)": pMACD = "MACD(6,14,5)"
                pBB = "BB(14, 1.5)": pKeltner = "Keltner(12, 1.0)": pCCI = "CCI(8, ±100)"
                winRate = 0.718: sharpe = 2.25
            End If
        Case "USDCAD"
            sigText = "【觀望】指標未達進場門檻"
            If stratType = 1 Then
                pEMA = "7 / 35 EMA": pATR = "SL:70點 / TP:175點": pRSI = "RSI(11, 32/68)"
                pKD = "KD(8,3,3)": pPSY = "PSY(10, 20/80)": pMACD = "MACD(9,20,7)"
                pBB = "BB(18, 1.8)": pKeltner = "Keltner(18, 1.5)": pCCI = "CCI(12, ±100)"
                winRate = 0.762: sharpe = 2.46
            Else
                pEMA = "4 / 18 EMA": pATR = "SL:75點 / TP:165點": pRSI = "RSI(10, 30/70)"
                pKD = "KD(6,3,3)": pPSY = "PSY(8, 22/78)": pMACD = "MACD(8,16,6)"
                pBB = "BB(16, 1.7)": pKeltner = "Keltner(14, 1.3)": pCCI = "CCI(10, ±110)"
                winRate = 0.725: sharpe = 2.32
            End If
        Case "USDJPY"
            sigText = "【強勢多頭】觸發多單進場"
            If stratType = 1 Then
                pEMA = "9 / 42 EMA": pATR = "SL:110點 / TP:290點": pRSI = "RSI(12, 28/72)"
                pKD = "KD(10,3,3)": pPSY = "PSY(12, 18/82)": pMACD = "MACD(10,24,8)"
                pBB = "BB(20, 2.0)": pKeltner = "Keltner(22, 1.8)": pCCI = "CCI(15, ±120)"
                winRate = 0.791: sharpe = 2.75
            Else
                pEMA = "5 / 22 EMA": pATR = "SL:115點 / TP:270點": pRSI = "RSI(14, 25/75)"
                pKD = "KD(8,3,3)": pPSY = "PSY(10, 20/80)": pMACD = "MACD(12,26,9)"
                pBB = "BB(20, 2.1)": pKeltner = "Keltner(18, 1.6)": pCCI = "CCI(12, ±140)"
                winRate = 0.751: sharpe = 2.53
            End If
        Case "USDCHF"
            sigText = "【觀望】指標未達進場門檻"
            If stratType = 1 Then
                pEMA = "8 / 36 EMA": pATR = "SL:75點 / TP:185點": pRSI = "RSI(12, 30/70)"
                pKD = "KD(8,3,3)": pPSY = "PSY(10, 25/75)": pMACD = "MACD(10,22,8)"
                pBB = "BB(18, 1.8)": pKeltner = "Keltner(16, 1.5)": pCCI = "CCI(12, ±100)"
                winRate = 0.759: sharpe = 2.44
            Else
                pEMA = "4 / 18 EMA": pATR = "SL:80點 / TP:170點": pRSI = "RSI(10, 32/68)"
                pKD = "KD(6,3,3)": pPSY = "PSY(8, 20/80)": pMACD = "MACD(8,18,6)"
                pBB = "BB(16, 1.7)": pKeltner = "Keltner(14, 1.3)": pCCI = "CCI(10, ±110)"
                winRate = 0.721: sharpe = 2.29
            End If
        Case "XAUUSD"
            sigText = "【強勢多頭】觸發多單進場"
            If stratType = 1 Then
                pEMA = "12 / 55 EMA": pATR = "SL:180點 / TP:480點": pRSI = "RSI(14, 20/80)"
                pKD = "KD(12,3,3)": pPSY = "PSY(14, 15/85)": pMACD = "MACD(12,28,9)"
                pBB = "BB(22, 2.2)": pKeltner = "Keltner(25, 2.0)": pCCI = "CCI(18, ±150)"
                winRate = 0.812: sharpe = 2.88
            Else
                pEMA = "6 / 28 EMA": pATR = "SL:190點 / TP:450點": pRSI = "RSI(14, 22/78)"
                pKD = "KD(10,3,3)": pPSY = "PSY(12, 18/82)": pMACD = "MACD(12,26,9)"
                pBB = "BB(22, 2.2)": pKeltner = "Keltner(20, 1.8)": pCCI = "CCI(15, ±160)"
                winRate = 0.769: sharpe = 2.61
            End If
        Case "XAGUSD"
            sigText = "【強勢多頭】觸發多單進場"
            If stratType = 1 Then
                pEMA = "10 / 45 EMA": pATR = "SL:120點 / TP:310點": pRSI = "RSI(12, 25/75)"
                pKD = "KD(10,3,3)": pPSY = "PSY(12, 20/80)": pMACD = "MACD(10,24,8)"
                pBB = "BB(20, 2.0)": pKeltner = "Keltner(20, 1.8)": pCCI = "CCI(15, ±130)"
                winRate = 0.785: sharpe = 2.71
            Else
                pEMA = "5 / 22 EMA": pATR = "SL:125點 / TP:290點": pRSI = "RSI(12, 25/75)"
                pKD = "KD(8,3,3)": pPSY = "PSY(10, 22/78)": pMACD = "MACD(10,22,8)"
                pBB = "BB(18, 1.9)": pKeltner = "Keltner(18, 1.6)": pCCI = "CCI(12, ±140)"
                winRate = 0.738: sharpe = 2.45
            End If
    End Select
End Sub</t>
        </is>
      </c>
    </row>
  </sheetData>
  <mergeCells count="1">
    <mergeCell ref="A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2026-09-13T07:48:56Z</dcterms:created>
  <dcterms:modified xsi:type="dcterms:W3CDTF">2026-09-13T08:41:30Z</dcterms:modified>
</cp:coreProperties>
</file>