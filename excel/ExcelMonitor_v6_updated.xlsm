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640" windowHeight="11760" tabRatio="600" firstSheet="0" activeTab="1" autoFilterDateGrouping="1"/>
  </bookViews>
  <sheets>
    <sheet name="Data" sheetId="1" state="visible" r:id="rId1"/>
    <sheet name="商品分析報告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0.00000"/>
  </numFmts>
  <fonts count="6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1"/>
      <sz val="11"/>
      <scheme val="minor"/>
    </font>
    <font>
      <name val="新細明體"/>
      <charset val="136"/>
      <family val="1"/>
      <b val="1"/>
      <color rgb="FFFFFFFF"/>
      <sz val="11"/>
      <scheme val="minor"/>
    </font>
    <font>
      <name val="新細明體"/>
      <charset val="136"/>
      <family val="1"/>
      <b val="1"/>
      <color rgb="FFFFD700"/>
      <sz val="16"/>
      <scheme val="minor"/>
    </font>
    <font>
      <name val="新細明體"/>
      <charset val="136"/>
      <family val="1"/>
      <b val="1"/>
      <color rgb="FF000000"/>
      <sz val="11"/>
    </font>
  </fonts>
  <fills count="4">
    <fill>
      <patternFill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F192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3" fillId="2" borderId="0" applyAlignment="1" pivotButton="0" quotePrefix="0" xfId="0">
      <alignment horizontal="center" vertical="center" wrapText="1"/>
    </xf>
    <xf numFmtId="16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4" fillId="3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4" fontId="0" fillId="0" borderId="0" pivotButton="0" quotePrefix="0" xfId="0"/>
  </cellXfs>
  <cellStyles count="1">
    <cellStyle name="一般" xfId="0" builtinId="0"/>
  </cellStyles>
  <dxfs count="1">
    <dxf>
      <fill>
        <patternFill patternType="solid">
          <fgColor rgb="00FFFF00"/>
          <bgColor rgb="00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工作表1">
    <outlinePr summaryBelow="1" summaryRight="1"/>
    <pageSetUpPr/>
  </sheetPr>
  <dimension ref="A1:AM9"/>
  <sheetViews>
    <sheetView topLeftCell="R1" workbookViewId="0">
      <pane ySplit="1" topLeftCell="A5" activePane="bottomLeft" state="frozen"/>
      <selection pane="bottomLeft" activeCell="E10" sqref="E10"/>
    </sheetView>
  </sheetViews>
  <sheetFormatPr baseColWidth="8" defaultRowHeight="15.75"/>
  <cols>
    <col width="14.7109375" customWidth="1" style="4" min="1" max="30"/>
  </cols>
  <sheetData>
    <row r="1" ht="35.1" customHeight="1" s="4">
      <c r="A1" s="1" t="inlineStr">
        <is>
          <t>Symbol</t>
        </is>
      </c>
      <c r="B1" s="1" t="inlineStr">
        <is>
          <t>即時 Bid</t>
        </is>
      </c>
      <c r="C1" s="1" t="inlineStr">
        <is>
          <t>亞盤低</t>
        </is>
      </c>
      <c r="D1" s="1" t="inlineStr">
        <is>
          <t>亞盤高</t>
        </is>
      </c>
      <c r="E1" s="1" t="inlineStr">
        <is>
          <t>歐盤低</t>
        </is>
      </c>
      <c r="F1" s="1" t="inlineStr">
        <is>
          <t>歐盤高</t>
        </is>
      </c>
      <c r="G1" s="1" t="inlineStr">
        <is>
          <t>美盤低</t>
        </is>
      </c>
      <c r="H1" s="1" t="inlineStr">
        <is>
          <t>美盤高</t>
        </is>
      </c>
      <c r="I1" s="1" t="inlineStr">
        <is>
          <t>週支撐</t>
        </is>
      </c>
      <c r="J1" s="1" t="inlineStr">
        <is>
          <t>週壓力</t>
        </is>
      </c>
      <c r="K1" s="1" t="inlineStr">
        <is>
          <t>近支撐</t>
        </is>
      </c>
      <c r="L1" s="1" t="inlineStr">
        <is>
          <t>近壓力</t>
        </is>
      </c>
      <c r="M1" s="1" t="inlineStr">
        <is>
          <t>支撐觸碰</t>
        </is>
      </c>
      <c r="N1" s="1" t="inlineStr">
        <is>
          <t>壓力觸碰</t>
        </is>
      </c>
      <c r="O1" s="1" t="inlineStr">
        <is>
          <t>支撐有效</t>
        </is>
      </c>
      <c r="P1" s="1" t="inlineStr">
        <is>
          <t>壓力有效</t>
        </is>
      </c>
      <c r="Q1" s="1" t="inlineStr">
        <is>
          <t>短MA</t>
        </is>
      </c>
      <c r="R1" s="1" t="inlineStr">
        <is>
          <t>長MA</t>
        </is>
      </c>
      <c r="S1" s="1" t="inlineStr">
        <is>
          <t>EMA</t>
        </is>
      </c>
      <c r="T1" s="1" t="inlineStr">
        <is>
          <t>短MA斜率%</t>
        </is>
      </c>
      <c r="U1" s="1" t="inlineStr">
        <is>
          <t>長MA斜率%</t>
        </is>
      </c>
      <c r="V1" s="1" t="inlineStr">
        <is>
          <t>EMA斜率%</t>
        </is>
      </c>
      <c r="W1" s="1" t="inlineStr">
        <is>
          <t>均線排列</t>
        </is>
      </c>
      <c r="X1" s="1" t="inlineStr">
        <is>
          <t>交叉狀態</t>
        </is>
      </c>
      <c r="Y1" s="1" t="inlineStr">
        <is>
          <t>趨勢分數</t>
        </is>
      </c>
      <c r="Z1" s="1" t="inlineStr">
        <is>
          <t>趨勢判定</t>
        </is>
      </c>
      <c r="AA1" s="1" t="inlineStr">
        <is>
          <t>個人化SL(ATR)</t>
        </is>
      </c>
      <c r="AB1" s="1" t="inlineStr">
        <is>
          <t>目前量</t>
        </is>
      </c>
      <c r="AC1" s="1" t="inlineStr">
        <is>
          <t>平均量</t>
        </is>
      </c>
      <c r="AD1" s="1" t="inlineStr">
        <is>
          <t>量能狀態</t>
        </is>
      </c>
      <c r="AE1" s="1" t="inlineStr">
        <is>
          <t>最終訊號</t>
        </is>
      </c>
      <c r="AF1" s="1" t="inlineStr">
        <is>
          <t>K棒型態</t>
        </is>
      </c>
      <c r="AG1" t="inlineStr">
        <is>
          <t>進場建議</t>
        </is>
      </c>
      <c r="AH1" t="inlineStr">
        <is>
          <t>11指標綜合分數</t>
        </is>
      </c>
      <c r="AI1" t="inlineStr">
        <is>
          <t>11指標綜合判定</t>
        </is>
      </c>
      <c r="AJ1" t="inlineStr">
        <is>
          <t>更新時間</t>
        </is>
      </c>
      <c r="AK1" t="inlineStr">
        <is>
          <t>今日漲跌%</t>
        </is>
      </c>
      <c r="AL1" t="inlineStr">
        <is>
          <t>關鍵位測試</t>
        </is>
      </c>
      <c r="AM1" t="inlineStr">
        <is>
          <t>突破判斷</t>
        </is>
      </c>
    </row>
    <row r="2">
      <c r="A2" t="inlineStr">
        <is>
          <t>EURUSD</t>
        </is>
      </c>
      <c r="B2" t="n">
        <v>1.1637</v>
      </c>
      <c r="C2" t="n">
        <v>1.13533</v>
      </c>
      <c r="D2" t="n">
        <v>1.17113</v>
      </c>
      <c r="E2" t="n">
        <v>1.16211</v>
      </c>
      <c r="F2" t="n">
        <v>1.16098</v>
      </c>
      <c r="G2" t="n">
        <v>1.16115</v>
      </c>
      <c r="H2" t="n">
        <v>-0.0006025</v>
      </c>
      <c r="I2" t="n">
        <v>-0.0004008</v>
      </c>
      <c r="J2" t="n">
        <v>-0.0004589</v>
      </c>
      <c r="K2" t="inlineStr">
        <is>
          <t>多頭排列</t>
        </is>
      </c>
      <c r="L2" t="n">
        <v>378</v>
      </c>
      <c r="M2" t="n">
        <v>1425</v>
      </c>
      <c r="N2" t="inlineStr">
        <is>
          <t>2026.09.03 20:40:30</t>
        </is>
      </c>
    </row>
    <row r="3">
      <c r="A3" t="inlineStr">
        <is>
          <t>GBPUSD</t>
        </is>
      </c>
      <c r="B3" t="n">
        <v>1.35444</v>
      </c>
      <c r="C3" t="n">
        <v>1.32733</v>
      </c>
      <c r="D3" t="n">
        <v>1.36754</v>
      </c>
      <c r="E3" t="n">
        <v>1.35183</v>
      </c>
      <c r="F3" t="n">
        <v>1.3504</v>
      </c>
      <c r="G3" t="n">
        <v>1.35086</v>
      </c>
      <c r="H3" t="n">
        <v>-0.0010811</v>
      </c>
      <c r="I3" t="n">
        <v>-0.0005989</v>
      </c>
      <c r="J3" t="n">
        <v>-0.0007078</v>
      </c>
      <c r="K3" t="inlineStr">
        <is>
          <t>多頭排列</t>
        </is>
      </c>
      <c r="L3" t="n">
        <v>706</v>
      </c>
      <c r="M3" t="n">
        <v>1825</v>
      </c>
      <c r="N3" t="inlineStr">
        <is>
          <t>2026.09.03 20:40:33</t>
        </is>
      </c>
    </row>
    <row r="4">
      <c r="A4" t="inlineStr">
        <is>
          <t>USDJPY</t>
        </is>
      </c>
      <c r="B4" t="n">
        <v>155.418</v>
      </c>
      <c r="C4" t="n">
        <v>155.227</v>
      </c>
      <c r="D4" t="n">
        <v>163.948</v>
      </c>
      <c r="E4" t="n">
        <v>155.551</v>
      </c>
      <c r="F4" t="n">
        <v>156.268</v>
      </c>
      <c r="G4" t="n">
        <v>156.252</v>
      </c>
      <c r="H4" t="n">
        <v>0.08683</v>
      </c>
      <c r="I4" t="n">
        <v>0.22718</v>
      </c>
      <c r="J4" t="n">
        <v>0.1723</v>
      </c>
      <c r="K4" t="inlineStr">
        <is>
          <t>空頭排列</t>
        </is>
      </c>
      <c r="L4" t="n">
        <v>711</v>
      </c>
      <c r="M4" t="n">
        <v>2192</v>
      </c>
      <c r="N4" t="inlineStr">
        <is>
          <t>2026.09.03 20:40:36</t>
        </is>
      </c>
    </row>
    <row r="5">
      <c r="A5" t="inlineStr">
        <is>
          <t>USDCAD</t>
        </is>
      </c>
      <c r="B5" t="n">
        <v>1.37799</v>
      </c>
      <c r="C5" t="n">
        <v>1.3732</v>
      </c>
      <c r="D5" t="n">
        <v>1.41287</v>
      </c>
      <c r="E5" t="n">
        <v>1.37922</v>
      </c>
      <c r="F5" t="n">
        <v>1.38089</v>
      </c>
      <c r="G5" t="n">
        <v>1.38064</v>
      </c>
      <c r="H5" t="n">
        <v>0.0005905</v>
      </c>
      <c r="I5" t="n">
        <v>0.0005542</v>
      </c>
      <c r="J5" t="n">
        <v>0.0005691</v>
      </c>
      <c r="K5" t="inlineStr">
        <is>
          <t>空頭排列</t>
        </is>
      </c>
      <c r="L5" t="n">
        <v>305</v>
      </c>
      <c r="M5" t="n">
        <v>1157</v>
      </c>
      <c r="N5" t="inlineStr">
        <is>
          <t>2026.09.03 20:40:38</t>
        </is>
      </c>
    </row>
    <row r="6">
      <c r="A6" t="inlineStr">
        <is>
          <t>AUDUSD</t>
        </is>
      </c>
      <c r="B6" t="n">
        <v>0.72067</v>
      </c>
      <c r="C6" t="n">
        <v>0.69221</v>
      </c>
      <c r="D6" t="n">
        <v>0.72079</v>
      </c>
      <c r="E6" t="n">
        <v>0.71957</v>
      </c>
      <c r="F6" t="n">
        <v>0.7184700000000001</v>
      </c>
      <c r="G6" t="n">
        <v>0.71871</v>
      </c>
      <c r="H6" t="n">
        <v>-0.0002172</v>
      </c>
      <c r="I6" t="n">
        <v>-0.0004856</v>
      </c>
      <c r="J6" t="n">
        <v>-0.0003618</v>
      </c>
      <c r="K6" t="inlineStr">
        <is>
          <t>多頭排列</t>
        </is>
      </c>
      <c r="L6" t="n">
        <v>335</v>
      </c>
      <c r="M6" t="n">
        <v>1307</v>
      </c>
      <c r="N6" t="inlineStr">
        <is>
          <t>2026.09.03 20:40:41</t>
        </is>
      </c>
    </row>
    <row r="7">
      <c r="A7" t="inlineStr">
        <is>
          <t>NZDUSD</t>
        </is>
      </c>
      <c r="B7" t="n">
        <v>0.58868</v>
      </c>
      <c r="C7" t="n">
        <v>0.57617</v>
      </c>
      <c r="D7" t="n">
        <v>0.59879</v>
      </c>
      <c r="E7" t="n">
        <v>0.58766</v>
      </c>
      <c r="F7" t="n">
        <v>0.5868100000000001</v>
      </c>
      <c r="G7" t="n">
        <v>0.5870300000000001</v>
      </c>
      <c r="H7" t="n">
        <v>-0.000445</v>
      </c>
      <c r="I7" t="n">
        <v>-0.0003542</v>
      </c>
      <c r="J7" t="n">
        <v>-0.0003406</v>
      </c>
      <c r="K7" t="inlineStr">
        <is>
          <t>多頭排列</t>
        </is>
      </c>
      <c r="L7" t="n">
        <v>300</v>
      </c>
      <c r="M7" t="n">
        <v>1024</v>
      </c>
      <c r="N7" t="inlineStr">
        <is>
          <t>2026.09.03 20:40:44</t>
        </is>
      </c>
    </row>
    <row r="8">
      <c r="A8" t="inlineStr">
        <is>
          <t>USDCHF</t>
        </is>
      </c>
      <c r="B8" t="n">
        <v>0.80623</v>
      </c>
      <c r="C8" t="n">
        <v>0.79495</v>
      </c>
      <c r="D8" t="n">
        <v>0.82067</v>
      </c>
      <c r="E8" t="n">
        <v>0.80775</v>
      </c>
      <c r="F8" t="n">
        <v>0.80912</v>
      </c>
      <c r="G8" t="n">
        <v>0.80901</v>
      </c>
      <c r="H8" t="n">
        <v>0.000652</v>
      </c>
      <c r="I8" t="n">
        <v>0.0005752</v>
      </c>
      <c r="J8" t="n">
        <v>0.0005419</v>
      </c>
      <c r="K8" t="inlineStr">
        <is>
          <t>空頭排列</t>
        </is>
      </c>
      <c r="L8" t="n">
        <v>365</v>
      </c>
      <c r="M8" t="n">
        <v>1225</v>
      </c>
      <c r="N8" t="inlineStr">
        <is>
          <t>2026.09.03 20:40:47</t>
        </is>
      </c>
    </row>
    <row r="9">
      <c r="A9" t="inlineStr">
        <is>
          <t>XAUUSD</t>
        </is>
      </c>
      <c r="B9" t="n">
        <v>4493.07</v>
      </c>
      <c r="C9" t="n">
        <v>3995.83</v>
      </c>
      <c r="D9" t="n">
        <v>4696.6</v>
      </c>
      <c r="E9" t="n">
        <v>4476.5</v>
      </c>
      <c r="F9" t="n">
        <v>4443.43</v>
      </c>
      <c r="G9" t="n">
        <v>4445.39</v>
      </c>
      <c r="H9" t="n">
        <v>-10.317</v>
      </c>
      <c r="I9" t="n">
        <v>-6.6842</v>
      </c>
      <c r="J9" t="n">
        <v>-6.7897</v>
      </c>
      <c r="K9" t="inlineStr">
        <is>
          <t>多頭排列</t>
        </is>
      </c>
      <c r="L9" t="n">
        <v>1967</v>
      </c>
      <c r="M9" t="n">
        <v>4307</v>
      </c>
      <c r="N9" t="inlineStr">
        <is>
          <t>2026.09.03 20:40:56</t>
        </is>
      </c>
    </row>
  </sheetData>
  <conditionalFormatting sqref="C2:C30">
    <cfRule type="expression" priority="1" dxfId="0">
      <formula>AND(C2&gt;0,ABS($B2-C2)/$B2&lt;=0.01)</formula>
    </cfRule>
  </conditionalFormatting>
  <conditionalFormatting sqref="D2:D30">
    <cfRule type="expression" priority="2" dxfId="0">
      <formula>AND(D2&gt;0,ABS($B2-D2)/$B2&lt;=0.01)</formula>
    </cfRule>
  </conditionalFormatting>
  <conditionalFormatting sqref="E2:E30">
    <cfRule type="expression" priority="3" dxfId="0">
      <formula>AND(E2&gt;0,ABS($B2-E2)/$B2&lt;=0.01)</formula>
    </cfRule>
  </conditionalFormatting>
  <conditionalFormatting sqref="F2:F30">
    <cfRule type="expression" priority="4" dxfId="0">
      <formula>AND(F2&gt;0,ABS($B2-F2)/$B2&lt;=0.01)</formula>
    </cfRule>
  </conditionalFormatting>
  <conditionalFormatting sqref="G2:G30">
    <cfRule type="expression" priority="5" dxfId="0">
      <formula>AND(G2&gt;0,ABS($B2-G2)/$B2&lt;=0.01)</formula>
    </cfRule>
  </conditionalFormatting>
  <conditionalFormatting sqref="H2:H30">
    <cfRule type="expression" priority="6" dxfId="0">
      <formula>AND(H2&gt;0,ABS($B2-H2)/$B2&lt;=0.01)</formula>
    </cfRule>
  </conditionalFormatting>
  <conditionalFormatting sqref="I2:I30">
    <cfRule type="expression" priority="7" dxfId="0">
      <formula>AND(I2&gt;0,ABS($B2-I2)/$B2&lt;=0.01)</formula>
    </cfRule>
  </conditionalFormatting>
  <conditionalFormatting sqref="J2:J30">
    <cfRule type="expression" priority="8" dxfId="0">
      <formula>AND(J2&gt;0,ABS($B2-J2)/$B2&lt;=0.01)</formula>
    </cfRule>
  </conditionalFormatting>
  <conditionalFormatting sqref="K2:K30">
    <cfRule type="expression" priority="9" dxfId="0">
      <formula>AND(K2&gt;0,ABS($B2-K2)/$B2&lt;=0.01)</formula>
    </cfRule>
  </conditionalFormatting>
  <conditionalFormatting sqref="L2:L30">
    <cfRule type="expression" priority="10" dxfId="0">
      <formula>AND(L2&gt;0,ABS($B2-L2)/$B2&lt;=0.01)</formula>
    </cfRule>
  </conditionalFormatting>
  <conditionalFormatting sqref="M2:M30">
    <cfRule type="expression" priority="11" dxfId="0">
      <formula>AND($K2&gt;0,ABS($B2-$K2)/$B2&lt;=0.01)</formula>
    </cfRule>
  </conditionalFormatting>
  <conditionalFormatting sqref="N2:N30">
    <cfRule type="expression" priority="12" dxfId="0">
      <formula>AND($L2&gt;0,ABS($B2-$L2)/$B2&lt;=0.01)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工作表2">
    <outlinePr summaryBelow="1" summaryRight="1"/>
    <pageSetUpPr/>
  </sheetPr>
  <dimension ref="A1:AI16"/>
  <sheetViews>
    <sheetView tabSelected="1" topLeftCell="X1" workbookViewId="0">
      <pane ySplit="1" topLeftCell="A2" activePane="bottomLeft" state="frozen"/>
      <selection pane="bottomLeft" activeCell="AG7" sqref="AG7"/>
    </sheetView>
  </sheetViews>
  <sheetFormatPr baseColWidth="8" defaultRowHeight="15.75"/>
  <cols>
    <col width="11.7109375" customWidth="1" style="4" min="1" max="1"/>
    <col width="12.7109375" customWidth="1" style="4" min="2" max="17"/>
    <col width="16.7109375" customWidth="1" style="4" min="18" max="18"/>
    <col width="12.7109375" customWidth="1" style="4" min="19" max="21"/>
    <col width="14.7109375" customWidth="1" style="4" min="22" max="22"/>
    <col width="10.7109375" customWidth="1" style="4" min="23" max="23"/>
    <col width="14.7109375" customWidth="1" style="4" min="24" max="24"/>
    <col width="12.7109375" customWidth="1" style="4" min="25" max="26"/>
    <col width="14.7109375" customWidth="1" style="4" min="27" max="27"/>
    <col width="18.7109375" customWidth="1" style="4" min="28" max="29"/>
    <col width="38.7109375" customWidth="1" style="4" min="30" max="30"/>
    <col width="20.7109375" customWidth="1" style="4" min="31" max="31"/>
  </cols>
  <sheetData>
    <row r="1" ht="32.1" customHeight="1" s="4">
      <c r="A1" s="5" t="inlineStr">
        <is>
          <t>8 大商品 MT5 即時交易分析與極限防線監控</t>
        </is>
      </c>
    </row>
    <row r="2">
      <c r="A2" s="6" t="inlineStr">
        <is>
          <t>支撐壓力＋均線趨勢＋成交量三大核心判斷</t>
        </is>
      </c>
    </row>
    <row r="3">
      <c r="A3" t="inlineStr">
        <is>
          <t>最後更新時間：尚未更新</t>
        </is>
      </c>
    </row>
    <row r="4" ht="42" customHeight="1" s="4">
      <c r="A4" s="1" t="inlineStr">
        <is>
          <t>商品</t>
        </is>
      </c>
      <c r="B4" s="1" t="inlineStr">
        <is>
          <t>即時 Bid</t>
        </is>
      </c>
      <c r="C4" s="1" t="inlineStr">
        <is>
          <t>週支撐</t>
        </is>
      </c>
      <c r="D4" s="1" t="inlineStr">
        <is>
          <t>週壓力</t>
        </is>
      </c>
      <c r="E4" s="1" t="inlineStr">
        <is>
          <t>近支撐</t>
        </is>
      </c>
      <c r="F4" s="1" t="inlineStr">
        <is>
          <t>近壓力</t>
        </is>
      </c>
      <c r="G4" s="1" t="inlineStr">
        <is>
          <t>短MA</t>
        </is>
      </c>
      <c r="H4" s="1" t="inlineStr">
        <is>
          <t>長MA</t>
        </is>
      </c>
      <c r="I4" s="1" t="inlineStr">
        <is>
          <t>EMA</t>
        </is>
      </c>
      <c r="J4" s="1" t="inlineStr">
        <is>
          <t>短MA斜率%</t>
        </is>
      </c>
      <c r="K4" s="1" t="inlineStr">
        <is>
          <t>長MA斜率%</t>
        </is>
      </c>
      <c r="L4" s="1" t="inlineStr">
        <is>
          <t>EMA斜率%</t>
        </is>
      </c>
      <c r="M4" s="1" t="inlineStr">
        <is>
          <t>均線排列</t>
        </is>
      </c>
      <c r="N4" s="1" t="inlineStr">
        <is>
          <t>交叉狀態</t>
        </is>
      </c>
      <c r="O4" s="1" t="inlineStr">
        <is>
          <t>趨勢分數</t>
        </is>
      </c>
      <c r="P4" s="1" t="inlineStr">
        <is>
          <t>趨勢判定</t>
        </is>
      </c>
      <c r="Q4" s="1" t="inlineStr">
        <is>
          <t>個人化SL(ATR)</t>
        </is>
      </c>
      <c r="R4" s="1" t="inlineStr">
        <is>
          <t>目前量</t>
        </is>
      </c>
      <c r="S4" s="1" t="inlineStr">
        <is>
          <t>平均量</t>
        </is>
      </c>
      <c r="T4" s="1" t="inlineStr">
        <is>
          <t>量能狀態</t>
        </is>
      </c>
      <c r="U4" s="1" t="inlineStr">
        <is>
          <t>最終訊號</t>
        </is>
      </c>
      <c r="V4" s="1" t="inlineStr">
        <is>
          <t>M15多頭票</t>
        </is>
      </c>
      <c r="W4" s="1" t="inlineStr">
        <is>
          <t>M15空頭票</t>
        </is>
      </c>
      <c r="X4" s="1" t="inlineStr">
        <is>
          <t>M15共振狀態</t>
        </is>
      </c>
      <c r="Y4" s="1" t="inlineStr">
        <is>
          <t>H1多頭票</t>
        </is>
      </c>
      <c r="Z4" s="1" t="inlineStr">
        <is>
          <t>H1空頭票</t>
        </is>
      </c>
      <c r="AA4" s="1" t="inlineStr">
        <is>
          <t>H1共振狀態</t>
        </is>
      </c>
      <c r="AB4" s="1" t="inlineStr">
        <is>
          <t>K棒型態</t>
        </is>
      </c>
      <c r="AC4" t="inlineStr">
        <is>
          <t>進場建議</t>
        </is>
      </c>
      <c r="AD4" t="inlineStr">
        <is>
          <t>11指標綜合分數</t>
        </is>
      </c>
      <c r="AE4" t="inlineStr">
        <is>
          <t>11指標綜合判定</t>
        </is>
      </c>
      <c r="AF4" t="inlineStr">
        <is>
          <t>更新時間</t>
        </is>
      </c>
      <c r="AG4" t="inlineStr">
        <is>
          <t>今日漲跌%</t>
        </is>
      </c>
      <c r="AH4" t="inlineStr">
        <is>
          <t>關鍵位測試</t>
        </is>
      </c>
      <c r="AI4" t="inlineStr">
        <is>
          <t>突破判斷</t>
        </is>
      </c>
    </row>
    <row r="5" ht="54.95" customHeight="1" s="4">
      <c r="A5" t="inlineStr">
        <is>
          <t>EURUSD</t>
        </is>
      </c>
      <c r="B5" s="7" t="n">
        <v>1.1637</v>
      </c>
      <c r="C5" s="7" t="n">
        <v>1.13533</v>
      </c>
      <c r="D5" s="7" t="n">
        <v>1.17113</v>
      </c>
      <c r="E5" s="7" t="n">
        <v>1.16115</v>
      </c>
      <c r="F5" s="7">
        <f>IF(D5="","",D5-B5)</f>
        <v/>
      </c>
      <c r="G5" s="7">
        <f>IF(C5="","",B5-C5)</f>
        <v/>
      </c>
      <c r="H5" s="7" t="n">
        <v>0.0095</v>
      </c>
      <c r="I5" t="inlineStr">
        <is>
          <t>【強勁空頭】均線斜率向下共振</t>
        </is>
      </c>
      <c r="J5" t="inlineStr">
        <is>
          <t>【區間運行】未挑戰關鍵支撐壓力</t>
        </is>
      </c>
      <c r="K5" t="inlineStr">
        <is>
          <t>【盤整策略】高拋低吸，依據個人 SL 防守</t>
        </is>
      </c>
      <c r="L5" t="inlineStr">
        <is>
          <t>? 持續監控</t>
        </is>
      </c>
    </row>
    <row r="6" ht="54.95" customHeight="1" s="4">
      <c r="A6" t="inlineStr">
        <is>
          <t>GBPUSD</t>
        </is>
      </c>
      <c r="B6" s="7" t="n">
        <v>1.35444</v>
      </c>
      <c r="C6" s="7" t="n">
        <v>1.32733</v>
      </c>
      <c r="D6" s="7" t="n">
        <v>1.36754</v>
      </c>
      <c r="E6" s="7" t="n">
        <v>1.35086</v>
      </c>
      <c r="F6" s="7">
        <f>IF(D6="","",D6-B6)</f>
        <v/>
      </c>
      <c r="G6" s="7">
        <f>IF(C6="","",B6-C6)</f>
        <v/>
      </c>
      <c r="H6" s="7" t="n">
        <v>0.012</v>
      </c>
      <c r="I6" t="inlineStr">
        <is>
          <t>【強勁空頭】均線斜率向下共振</t>
        </is>
      </c>
      <c r="J6" t="inlineStr">
        <is>
          <t>【區間運行】未挑戰關鍵支撐壓力</t>
        </is>
      </c>
      <c r="K6" t="inlineStr">
        <is>
          <t>【盤整策略】高拋低吸，依據個人 SL 防守</t>
        </is>
      </c>
      <c r="L6" t="inlineStr">
        <is>
          <t>? 持續監控</t>
        </is>
      </c>
    </row>
    <row r="7" ht="54.95" customHeight="1" s="4">
      <c r="A7" t="inlineStr">
        <is>
          <t>USDJPY</t>
        </is>
      </c>
      <c r="B7" s="3" t="n">
        <v>155.418</v>
      </c>
      <c r="C7" s="3" t="n">
        <v>155.227</v>
      </c>
      <c r="D7" s="3" t="n">
        <v>163.948</v>
      </c>
      <c r="E7" s="3" t="n">
        <v>156.252</v>
      </c>
      <c r="F7" s="3">
        <f>IF(D7="","",D7-B7)</f>
        <v/>
      </c>
      <c r="G7" s="3">
        <f>IF(C7="","",B7-C7)</f>
        <v/>
      </c>
      <c r="H7" s="3" t="n">
        <v>1.1</v>
      </c>
      <c r="I7" t="inlineStr">
        <is>
          <t>【強勁多頭】均線斜率向上共振</t>
        </is>
      </c>
      <c r="J7" t="inlineStr">
        <is>
          <t>【區間運行】未挑戰關鍵支撐壓力</t>
        </is>
      </c>
      <c r="K7" t="inlineStr">
        <is>
          <t>【盤整策略】高拋低吸，依據個人 SL 防守</t>
        </is>
      </c>
      <c r="L7" t="inlineStr">
        <is>
          <t>? 持續監控</t>
        </is>
      </c>
    </row>
    <row r="8" ht="54.95" customHeight="1" s="4">
      <c r="A8" t="inlineStr">
        <is>
          <t>USDCAD</t>
        </is>
      </c>
      <c r="B8" s="7" t="n">
        <v>1.37799</v>
      </c>
      <c r="C8" s="7" t="n">
        <v>1.3732</v>
      </c>
      <c r="D8" s="7" t="n">
        <v>1.41287</v>
      </c>
      <c r="E8" s="7" t="n">
        <v>1.38064</v>
      </c>
      <c r="F8" s="7">
        <f>IF(D8="","",D8-B8)</f>
        <v/>
      </c>
      <c r="G8" s="7">
        <f>IF(C8="","",B8-C8)</f>
        <v/>
      </c>
      <c r="H8" s="7" t="n">
        <v>0.008500000000000001</v>
      </c>
      <c r="I8" t="inlineStr">
        <is>
          <t>【強勁多頭】均線斜率向上共振</t>
        </is>
      </c>
      <c r="J8" t="inlineStr">
        <is>
          <t>【區間運行】未挑戰關鍵支撐壓力</t>
        </is>
      </c>
      <c r="K8" t="inlineStr">
        <is>
          <t>【盤整策略】高拋低吸，依據個人 SL 防守</t>
        </is>
      </c>
      <c r="L8" t="inlineStr">
        <is>
          <t>? 持續監控</t>
        </is>
      </c>
    </row>
    <row r="9" ht="54.95" customHeight="1" s="4">
      <c r="A9" t="inlineStr">
        <is>
          <t>AUDUSD</t>
        </is>
      </c>
      <c r="B9" s="7" t="n">
        <v>0.72067</v>
      </c>
      <c r="C9" s="7" t="n">
        <v>0.69221</v>
      </c>
      <c r="D9" s="7" t="n">
        <v>0.72079</v>
      </c>
      <c r="E9" s="7" t="n">
        <v>0.71871</v>
      </c>
      <c r="F9" s="7">
        <f>IF(D9="","",D9-B9)</f>
        <v/>
      </c>
      <c r="G9" s="7">
        <f>IF(C9="","",B9-C9)</f>
        <v/>
      </c>
      <c r="H9" s="7" t="n">
        <v>0.008</v>
      </c>
      <c r="I9" t="inlineStr">
        <is>
          <t>【強勁空頭】均線斜率向下共振</t>
        </is>
      </c>
      <c r="J9" t="inlineStr">
        <is>
          <t>【區間運行】未挑戰關鍵支撐壓力</t>
        </is>
      </c>
      <c r="K9" t="inlineStr">
        <is>
          <t>【盤整策略】高拋低吸，依據個人 SL 防守</t>
        </is>
      </c>
      <c r="L9" t="inlineStr">
        <is>
          <t>? 持續監控</t>
        </is>
      </c>
    </row>
    <row r="10" ht="54.95" customHeight="1" s="4">
      <c r="A10" t="inlineStr">
        <is>
          <t>NZDUSD</t>
        </is>
      </c>
      <c r="B10" s="7" t="n">
        <v>0.58868</v>
      </c>
      <c r="C10" s="7" t="n">
        <v>0.57617</v>
      </c>
      <c r="D10" s="7" t="n">
        <v>0.59879</v>
      </c>
      <c r="E10" s="7" t="n">
        <v>0.5870300000000001</v>
      </c>
      <c r="F10" s="7">
        <f>IF(D10="","",D10-B10)</f>
        <v/>
      </c>
      <c r="G10" s="7">
        <f>IF(C10="","",B10-C10)</f>
        <v/>
      </c>
      <c r="H10" s="7" t="n">
        <v>0.0075</v>
      </c>
      <c r="I10" t="inlineStr">
        <is>
          <t>【強勁空頭】均線斜率向下共振</t>
        </is>
      </c>
      <c r="J10" t="inlineStr">
        <is>
          <t>【區間運行】未挑戰關鍵支撐壓力</t>
        </is>
      </c>
      <c r="K10" t="inlineStr">
        <is>
          <t>【盤整策略】高拋低吸，依據個人 SL 防守</t>
        </is>
      </c>
      <c r="L10" t="inlineStr">
        <is>
          <t>? 持續監控</t>
        </is>
      </c>
    </row>
    <row r="11" ht="54.95" customHeight="1" s="4">
      <c r="A11" t="inlineStr">
        <is>
          <t>USDCHF</t>
        </is>
      </c>
      <c r="B11" s="7" t="n">
        <v>0.80623</v>
      </c>
      <c r="C11" s="7" t="n">
        <v>0.79495</v>
      </c>
      <c r="D11" s="7" t="n">
        <v>0.82067</v>
      </c>
      <c r="E11" s="7" t="n">
        <v>0.80901</v>
      </c>
      <c r="F11" s="7">
        <f>IF(D11="","",D11-B11)</f>
        <v/>
      </c>
      <c r="G11" s="7">
        <f>IF(C11="","",B11-C11)</f>
        <v/>
      </c>
      <c r="H11" s="7" t="n">
        <v>0.01</v>
      </c>
      <c r="I11" t="inlineStr">
        <is>
          <t>【強勁多頭】均線斜率向上共振</t>
        </is>
      </c>
      <c r="J11" t="inlineStr">
        <is>
          <t>【區間運行】未挑戰關鍵支撐壓力</t>
        </is>
      </c>
      <c r="K11" t="inlineStr">
        <is>
          <t>【盤整策略】高拋低吸，依據個人 SL 防守</t>
        </is>
      </c>
      <c r="L11" t="inlineStr">
        <is>
          <t>? 持續監控</t>
        </is>
      </c>
    </row>
    <row r="12" ht="54.95" customHeight="1" s="4">
      <c r="A12" t="inlineStr">
        <is>
          <t>XAUUSD</t>
        </is>
      </c>
      <c r="B12" s="3" t="n">
        <v>4493.07</v>
      </c>
      <c r="C12" s="3" t="n">
        <v>3995.83</v>
      </c>
      <c r="D12" s="3" t="n">
        <v>4696.6</v>
      </c>
      <c r="E12" s="3" t="n">
        <v>4445.39</v>
      </c>
      <c r="F12" s="3">
        <f>IF(D12="","",D12-B12)</f>
        <v/>
      </c>
      <c r="G12" s="3">
        <f>IF(C12="","",B12-C12)</f>
        <v/>
      </c>
      <c r="H12" s="3" t="n">
        <v>19</v>
      </c>
      <c r="I12" t="inlineStr">
        <is>
          <t>【強勁空頭】均線斜率向下共振</t>
        </is>
      </c>
      <c r="J12" t="inlineStr">
        <is>
          <t>【區間運行】未挑戰關鍵支撐壓力</t>
        </is>
      </c>
      <c r="K12" t="inlineStr">
        <is>
          <t>【盤整策略】高拋低吸，依據個人 SL 防守</t>
        </is>
      </c>
      <c r="L12" t="inlineStr">
        <is>
          <t>? 持續監控</t>
        </is>
      </c>
    </row>
    <row r="13">
      <c r="B13" s="3" t="n"/>
      <c r="C13" s="3" t="n"/>
      <c r="D13" s="3" t="n"/>
      <c r="E13" s="3" t="n"/>
      <c r="F13" s="3">
        <f>IF(D13="","",D13-B13)</f>
        <v/>
      </c>
      <c r="G13" s="3">
        <f>IF(C13="","",B13-C13)</f>
        <v/>
      </c>
      <c r="H13" s="3" t="n"/>
    </row>
    <row r="14">
      <c r="B14" s="3" t="n"/>
      <c r="C14" s="3" t="n"/>
      <c r="D14" s="3" t="n"/>
      <c r="E14" s="3" t="n"/>
      <c r="F14" s="3">
        <f>IF(D14="","",D14-B14)</f>
        <v/>
      </c>
      <c r="G14" s="3">
        <f>IF(C14="","",B14-C14)</f>
        <v/>
      </c>
      <c r="H14" s="3" t="n"/>
    </row>
    <row r="15">
      <c r="B15" s="3" t="n"/>
      <c r="C15" s="3" t="n"/>
      <c r="D15" s="3" t="n"/>
      <c r="E15" s="3" t="n"/>
      <c r="F15" s="3">
        <f>IF(D15="","",D15-B15)</f>
        <v/>
      </c>
      <c r="G15" s="3">
        <f>IF(C15="","",B15-C15)</f>
        <v/>
      </c>
      <c r="H15" s="3" t="n"/>
    </row>
    <row r="16">
      <c r="B16" s="3" t="n"/>
      <c r="C16" s="3" t="n"/>
      <c r="D16" s="3" t="n"/>
      <c r="E16" s="3" t="n"/>
      <c r="F16" s="3">
        <f>IF(D16="","",D16-B16)</f>
        <v/>
      </c>
      <c r="G16" s="3">
        <f>IF(C16="","",B16-C16)</f>
        <v/>
      </c>
      <c r="H16" s="3" t="n"/>
    </row>
  </sheetData>
  <mergeCells count="3">
    <mergeCell ref="A1:AE1"/>
    <mergeCell ref="A3:AE3"/>
    <mergeCell ref="A2:AE2"/>
  </mergeCell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2026-09-02T20:22:46Z</dcterms:created>
  <dcterms:modified xsi:type="dcterms:W3CDTF">2026-09-12T02:14:01Z</dcterms:modified>
  <cp:lastModifiedBy>user</cp:lastModifiedBy>
</cp:coreProperties>
</file>